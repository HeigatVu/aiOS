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ummary" sheetId="1" state="visible" r:id="rId3"/>
    <sheet name=" Detailed project budget year 1" sheetId="2" state="visible" r:id="rId4"/>
    <sheet name=" Detailed project budget year 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<sst xmlns="http://schemas.openxmlformats.org/spreadsheetml/2006/main" count="90" uniqueCount="42">
  <si>
    <t xml:space="preserve">Detail Project Budget Plan</t>
  </si>
  <si>
    <t xml:space="preserve">Name of Vietnamese institution</t>
  </si>
  <si>
    <t xml:space="preserve">Name of Irish institution</t>
  </si>
  <si>
    <t xml:space="preserve">Name of project</t>
  </si>
  <si>
    <t xml:space="preserve">Project year</t>
  </si>
  <si>
    <t xml:space="preserve">EXAMPLE ONLY</t>
  </si>
  <si>
    <t xml:space="preserve">Activity</t>
  </si>
  <si>
    <t xml:space="preserve">Unit</t>
  </si>
  <si>
    <t xml:space="preserve">Quantity</t>
  </si>
  <si>
    <r>
      <rPr>
        <b val="true"/>
        <sz val="10"/>
        <rFont val="Arial"/>
        <family val="2"/>
        <charset val="1"/>
      </rPr>
      <t xml:space="preserve">Unit price (</t>
    </r>
    <r>
      <rPr>
        <b val="true"/>
        <sz val="10"/>
        <rFont val="Calibri"/>
        <family val="2"/>
        <charset val="1"/>
      </rPr>
      <t xml:space="preserve">€</t>
    </r>
    <r>
      <rPr>
        <b val="true"/>
        <sz val="10"/>
        <rFont val="Arial"/>
        <family val="2"/>
        <charset val="1"/>
      </rPr>
      <t xml:space="preserve">)</t>
    </r>
  </si>
  <si>
    <t xml:space="preserve">A
Total Project  Budget  
A= B+C+D+E</t>
  </si>
  <si>
    <t xml:space="preserve">B
Funding requested from Irish Aid </t>
  </si>
  <si>
    <t xml:space="preserve">C
Contribution by Vietnamese partner</t>
  </si>
  <si>
    <t xml:space="preserve">D
Contribution by Irish partner</t>
  </si>
  <si>
    <t xml:space="preserve">E
Contribution from other resources</t>
  </si>
  <si>
    <t xml:space="preserve">Remarks/ Explanation</t>
  </si>
  <si>
    <t xml:space="preserve">Workshop on XXX for 40 people in 01 day</t>
  </si>
  <si>
    <t xml:space="preserve">Venue</t>
  </si>
  <si>
    <t xml:space="preserve">day* time</t>
  </si>
  <si>
    <t xml:space="preserve">Use meeting hall of the university</t>
  </si>
  <si>
    <t xml:space="preserve">Banner/Backdrop</t>
  </si>
  <si>
    <t xml:space="preserve">set</t>
  </si>
  <si>
    <t xml:space="preserve">Tea-break</t>
  </si>
  <si>
    <t xml:space="preserve">person*time</t>
  </si>
  <si>
    <t xml:space="preserve">Lunch</t>
  </si>
  <si>
    <t xml:space="preserve">Sub total</t>
  </si>
  <si>
    <t xml:space="preserve">Visit by 03 Vietnamese lecture (05 nights in Ireland) to attend training course on XX</t>
  </si>
  <si>
    <t xml:space="preserve">Round trip airfare</t>
  </si>
  <si>
    <t xml:space="preserve">person</t>
  </si>
  <si>
    <t xml:space="preserve">Visa fee for Ireland</t>
  </si>
  <si>
    <t xml:space="preserve">Person</t>
  </si>
  <si>
    <t xml:space="preserve">Insurance</t>
  </si>
  <si>
    <t xml:space="preserve">Accommodation and Subsistenec allowance</t>
  </si>
  <si>
    <t xml:space="preserve">Person*night</t>
  </si>
  <si>
    <t xml:space="preserve">Taxi to/ from airport</t>
  </si>
  <si>
    <t xml:space="preserve">Person* trip</t>
  </si>
  <si>
    <t xml:space="preserve">Transportation in Ireland</t>
  </si>
  <si>
    <t xml:space="preserve">Will use public transport whenever possible, actual cost based on receipts</t>
  </si>
  <si>
    <t xml:space="preserve"> Sub total</t>
  </si>
  <si>
    <t xml:space="preserve">Office running cost (telephone, postal, internet, etc.)</t>
  </si>
  <si>
    <t xml:space="preserve">month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</si>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</sst>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(* #,##0_);_(* \(#,##0\);_(* \-_);_(@_)"/>
    <numFmt numFmtId="166" formatCode="_(* #,##0.0_);_(* \(#,##0.0\);_(* \-_);_(@_)"/>
  </numFmts>
  <fonts count="10">
    <font>
      <sz val="10"/>
      <name val="Verdan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b val="true"/>
      <i val="true"/>
      <sz val="10"/>
      <name val="Arial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FF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0" tint="-0.35"/>
        <bgColor rgb="FFC0C0C0"/>
      </patternFill>
    </fill>
    <fill>
      <patternFill patternType="solid">
        <fgColor theme="0"/>
        <bgColor rgb="FFFFFFCC"/>
      </patternFill>
    </fill>
    <fill>
      <patternFill patternType="solid">
        <fgColor theme="0" tint="-0.15"/>
        <bgColor rgb="FFC0C0C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0" xfId="5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5" fillId="0" borderId="0" xfId="5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3" borderId="1" xfId="5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3" borderId="2" xfId="5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6" fillId="0" borderId="1" xfId="5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6" fillId="0" borderId="2" xfId="5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5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6" fillId="4" borderId="1" xfId="5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5" fillId="0" borderId="1" xfId="5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6" fillId="0" borderId="1" xfId="5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6" fontId="6" fillId="5" borderId="1" xfId="5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6" fillId="5" borderId="1" xfId="50" applyFont="true" applyBorder="true" applyAlignment="true" applyProtection="true">
      <alignment horizontal="righ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[0] 2 10" xfId="20"/>
    <cellStyle name="Comma [0] 2 11" xfId="21"/>
    <cellStyle name="Comma [0] 2 12" xfId="22"/>
    <cellStyle name="Comma [0] 2 13" xfId="23"/>
    <cellStyle name="Comma [0] 2 14" xfId="24"/>
    <cellStyle name="Comma [0] 2 2" xfId="25"/>
    <cellStyle name="Comma [0] 2 3" xfId="26"/>
    <cellStyle name="Comma [0] 2 4" xfId="27"/>
    <cellStyle name="Comma [0] 2 5" xfId="28"/>
    <cellStyle name="Comma [0] 2 6" xfId="29"/>
    <cellStyle name="Comma [0] 2 7" xfId="30"/>
    <cellStyle name="Comma [0] 2 8" xfId="31"/>
    <cellStyle name="Comma [0] 2 9" xfId="32"/>
    <cellStyle name="Comma [0] 5" xfId="33"/>
    <cellStyle name="Normal 2 10" xfId="34"/>
    <cellStyle name="Normal 2 11" xfId="35"/>
    <cellStyle name="Normal 2 12" xfId="36"/>
    <cellStyle name="Normal 2 13" xfId="37"/>
    <cellStyle name="Normal 2 14" xfId="38"/>
    <cellStyle name="Normal 2 2" xfId="39"/>
    <cellStyle name="Normal 2 3" xfId="40"/>
    <cellStyle name="Normal 2 4" xfId="41"/>
    <cellStyle name="Normal 2 5" xfId="42"/>
    <cellStyle name="Normal 2 6" xfId="43"/>
    <cellStyle name="Normal 2 7" xfId="44"/>
    <cellStyle name="Normal 2 8" xfId="45"/>
    <cellStyle name="Normal 2 9" xfId="46"/>
    <cellStyle name="Normal 3" xfId="47"/>
    <cellStyle name="Normal 4" xfId="48"/>
    <cellStyle name="Normal 5" xfId="49"/>
    <cellStyle name="Excel Built-in Comma [0]" xfId="5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<Relationship Id="rId7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7" activeCellId="0" sqref="A37"/>
    </sheetView>
  </sheetViews>
  <sheetFormatPr defaultColWidth="10.082031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7" activeCellId="0" sqref="L7"/>
    </sheetView>
  </sheetViews>
  <sheetFormatPr defaultColWidth="10.7265625" defaultRowHeight="12.75" customHeight="false" zeroHeight="false" outlineLevelRow="0" outlineLevelCol="0"/>
  <cols>
    <col collapsed="false" customWidth="true" hidden="false" outlineLevel="0" max="1" min="1" style="1" width="4.27"/>
    <col collapsed="false" customWidth="true" hidden="false" outlineLevel="0" max="2" min="2" style="2" width="32.63"/>
    <col collapsed="false" customWidth="true" hidden="false" outlineLevel="0" max="3" min="3" style="2" width="13.91"/>
    <col collapsed="false" customWidth="true" hidden="false" outlineLevel="0" max="4" min="4" style="2" width="5"/>
    <col collapsed="false" customWidth="true" hidden="false" outlineLevel="0" max="5" min="5" style="2" width="7.27"/>
    <col collapsed="false" customWidth="true" hidden="false" outlineLevel="0" max="6" min="6" style="2" width="10.27"/>
    <col collapsed="false" customWidth="true" hidden="false" outlineLevel="0" max="7" min="7" style="3" width="16.82"/>
    <col collapsed="false" customWidth="true" hidden="false" outlineLevel="0" max="8" min="8" style="4" width="14.27"/>
    <col collapsed="false" customWidth="true" hidden="false" outlineLevel="0" max="9" min="9" style="4" width="17.36"/>
    <col collapsed="false" customWidth="true" hidden="false" outlineLevel="0" max="10" min="10" style="4" width="14.09"/>
    <col collapsed="false" customWidth="true" hidden="false" outlineLevel="0" max="11" min="11" style="4" width="15.63"/>
    <col collapsed="false" customWidth="true" hidden="false" outlineLevel="0" max="12" min="12" style="2" width="23.73"/>
    <col collapsed="false" customWidth="false" hidden="false" outlineLevel="0" max="16384" min="13" style="2" width="10.72"/>
  </cols>
  <sheetData>
    <row r="1" customFormat="false" ht="12.75" hidden="false" customHeight="false" outlineLevel="0" collapsed="false">
      <c r="B1" s="5" t="s">
        <v>0</v>
      </c>
    </row>
    <row r="2" customFormat="false" ht="12.75" hidden="false" customHeight="false" outlineLevel="0" collapsed="false">
      <c r="B2" s="2" t="s">
        <v>1</v>
      </c>
    </row>
    <row r="3" customFormat="false" ht="12.75" hidden="false" customHeight="false" outlineLevel="0" collapsed="false">
      <c r="B3" s="2" t="s">
        <v>2</v>
      </c>
    </row>
    <row r="4" customFormat="false" ht="12.75" hidden="false" customHeight="false" outlineLevel="0" collapsed="false">
      <c r="B4" s="2" t="s">
        <v>3</v>
      </c>
    </row>
    <row r="5" customFormat="false" ht="12.75" hidden="false" customHeight="false" outlineLevel="0" collapsed="false">
      <c r="B5" s="2" t="s">
        <v>4</v>
      </c>
    </row>
    <row r="6" customFormat="false" ht="12.75" hidden="false" customHeight="false" outlineLevel="0" collapsed="false">
      <c r="B6" s="6" t="s">
        <v>5</v>
      </c>
    </row>
    <row r="7" customFormat="false" ht="46.25" hidden="false" customHeight="true" outlineLevel="0" collapsed="false">
      <c r="A7" s="7"/>
      <c r="B7" s="8" t="s">
        <v>6</v>
      </c>
      <c r="C7" s="8" t="s">
        <v>7</v>
      </c>
      <c r="D7" s="8" t="s">
        <v>8</v>
      </c>
      <c r="E7" s="8"/>
      <c r="F7" s="8" t="s">
        <v>9</v>
      </c>
      <c r="G7" s="9" t="s">
        <v>10</v>
      </c>
      <c r="H7" s="10" t="s">
        <v>11</v>
      </c>
      <c r="I7" s="10" t="s">
        <v>12</v>
      </c>
      <c r="J7" s="10" t="s">
        <v>13</v>
      </c>
      <c r="K7" s="10" t="s">
        <v>14</v>
      </c>
      <c r="L7" s="11" t="s">
        <v>15</v>
      </c>
    </row>
    <row r="8" s="20" customFormat="true" ht="24.75" hidden="false" customHeight="true" outlineLevel="0" collapsed="false">
      <c r="A8" s="12" t="n">
        <v>1</v>
      </c>
      <c r="B8" s="13" t="s">
        <v>16</v>
      </c>
      <c r="C8" s="14"/>
      <c r="D8" s="15"/>
      <c r="E8" s="16"/>
      <c r="F8" s="14"/>
      <c r="G8" s="17"/>
      <c r="H8" s="18"/>
      <c r="I8" s="18"/>
      <c r="J8" s="18"/>
      <c r="K8" s="18"/>
      <c r="L8" s="19"/>
    </row>
    <row r="9" s="25" customFormat="true" ht="27.75" hidden="false" customHeight="true" outlineLevel="0" collapsed="false">
      <c r="A9" s="21"/>
      <c r="B9" s="22" t="s">
        <v>17</v>
      </c>
      <c r="C9" s="22" t="s">
        <v>18</v>
      </c>
      <c r="D9" s="21" t="n">
        <v>1</v>
      </c>
      <c r="E9" s="21" t="n">
        <v>1</v>
      </c>
      <c r="F9" s="21" t="n">
        <v>200</v>
      </c>
      <c r="G9" s="23" t="n">
        <f aca="false">D9*E9*F9</f>
        <v>200</v>
      </c>
      <c r="H9" s="24" t="n">
        <v>0</v>
      </c>
      <c r="I9" s="24" t="n">
        <v>200</v>
      </c>
      <c r="J9" s="24" t="n">
        <v>0</v>
      </c>
      <c r="K9" s="24"/>
      <c r="L9" s="22" t="s">
        <v>19</v>
      </c>
    </row>
    <row r="10" s="20" customFormat="true" ht="12.75" hidden="false" customHeight="false" outlineLevel="0" collapsed="false">
      <c r="A10" s="26"/>
      <c r="B10" s="19" t="s">
        <v>20</v>
      </c>
      <c r="C10" s="19" t="s">
        <v>21</v>
      </c>
      <c r="D10" s="26" t="n">
        <v>1</v>
      </c>
      <c r="E10" s="26" t="n">
        <v>1</v>
      </c>
      <c r="F10" s="26" t="n">
        <v>20</v>
      </c>
      <c r="G10" s="27" t="n">
        <f aca="false">D10*E10*F10</f>
        <v>20</v>
      </c>
      <c r="H10" s="28" t="n">
        <v>20</v>
      </c>
      <c r="I10" s="28" t="n">
        <v>0</v>
      </c>
      <c r="J10" s="28" t="n">
        <v>0</v>
      </c>
      <c r="K10" s="28"/>
      <c r="L10" s="19"/>
    </row>
    <row r="11" s="20" customFormat="true" ht="12.75" hidden="false" customHeight="false" outlineLevel="0" collapsed="false">
      <c r="A11" s="26"/>
      <c r="B11" s="19" t="s">
        <v>22</v>
      </c>
      <c r="C11" s="19" t="s">
        <v>23</v>
      </c>
      <c r="D11" s="26" t="n">
        <v>40</v>
      </c>
      <c r="E11" s="26" t="n">
        <v>2</v>
      </c>
      <c r="F11" s="26" t="n">
        <v>1.5</v>
      </c>
      <c r="G11" s="27" t="n">
        <f aca="false">D11*E11*F11</f>
        <v>120</v>
      </c>
      <c r="H11" s="28" t="n">
        <v>120</v>
      </c>
      <c r="I11" s="28" t="n">
        <v>0</v>
      </c>
      <c r="J11" s="28" t="n">
        <v>0</v>
      </c>
      <c r="K11" s="28"/>
      <c r="L11" s="19"/>
    </row>
    <row r="12" s="20" customFormat="true" ht="12.75" hidden="false" customHeight="false" outlineLevel="0" collapsed="false">
      <c r="A12" s="26"/>
      <c r="B12" s="19" t="s">
        <v>24</v>
      </c>
      <c r="C12" s="19" t="s">
        <v>23</v>
      </c>
      <c r="D12" s="26" t="n">
        <v>40</v>
      </c>
      <c r="E12" s="26" t="n">
        <v>1</v>
      </c>
      <c r="F12" s="26" t="n">
        <v>8</v>
      </c>
      <c r="G12" s="27" t="n">
        <f aca="false">D12*E12*F12</f>
        <v>320</v>
      </c>
      <c r="H12" s="28" t="n">
        <v>320</v>
      </c>
      <c r="I12" s="28"/>
      <c r="J12" s="28"/>
      <c r="K12" s="28"/>
      <c r="L12" s="19"/>
    </row>
    <row r="13" s="20" customFormat="true" ht="27.75" hidden="false" customHeight="true" outlineLevel="0" collapsed="false">
      <c r="A13" s="26"/>
      <c r="B13" s="29" t="s">
        <v>25</v>
      </c>
      <c r="C13" s="30"/>
      <c r="D13" s="31"/>
      <c r="E13" s="31"/>
      <c r="F13" s="31"/>
      <c r="G13" s="32" t="n">
        <f aca="false">SUM(G9:G12)</f>
        <v>660</v>
      </c>
      <c r="H13" s="33" t="n">
        <f aca="false">SUM(H9:H12)</f>
        <v>460</v>
      </c>
      <c r="I13" s="33" t="n">
        <f aca="false">SUM(I9:I12)</f>
        <v>200</v>
      </c>
      <c r="J13" s="33" t="n">
        <f aca="false">SUM(J9:J12)</f>
        <v>0</v>
      </c>
      <c r="K13" s="33"/>
      <c r="L13" s="19"/>
      <c r="M13" s="34"/>
    </row>
    <row r="14" s="25" customFormat="true" ht="23.85" hidden="false" customHeight="false" outlineLevel="0" collapsed="false">
      <c r="A14" s="35" t="n">
        <v>2</v>
      </c>
      <c r="B14" s="36" t="s">
        <v>26</v>
      </c>
      <c r="C14" s="22"/>
      <c r="D14" s="21"/>
      <c r="E14" s="21"/>
      <c r="F14" s="21"/>
      <c r="G14" s="23"/>
      <c r="H14" s="24"/>
      <c r="I14" s="24" t="n">
        <v>0</v>
      </c>
      <c r="J14" s="24" t="n">
        <v>0</v>
      </c>
      <c r="K14" s="24"/>
      <c r="L14" s="22"/>
    </row>
    <row r="15" s="25" customFormat="true" ht="12.75" hidden="false" customHeight="false" outlineLevel="0" collapsed="false">
      <c r="A15" s="21"/>
      <c r="B15" s="37" t="s">
        <v>27</v>
      </c>
      <c r="C15" s="37" t="s">
        <v>28</v>
      </c>
      <c r="D15" s="38" t="n">
        <v>3</v>
      </c>
      <c r="E15" s="38" t="n">
        <v>1</v>
      </c>
      <c r="F15" s="38" t="n">
        <v>1800</v>
      </c>
      <c r="G15" s="23" t="n">
        <f aca="false">D15*E15*F15</f>
        <v>5400</v>
      </c>
      <c r="H15" s="23" t="n">
        <f aca="false">G15</f>
        <v>5400</v>
      </c>
      <c r="I15" s="24" t="n">
        <v>0</v>
      </c>
      <c r="J15" s="24" t="n">
        <v>0</v>
      </c>
      <c r="K15" s="24"/>
      <c r="L15" s="22"/>
    </row>
    <row r="16" s="25" customFormat="true" ht="12.75" hidden="false" customHeight="false" outlineLevel="0" collapsed="false">
      <c r="A16" s="21"/>
      <c r="B16" s="37" t="s">
        <v>29</v>
      </c>
      <c r="C16" s="37" t="s">
        <v>30</v>
      </c>
      <c r="D16" s="38" t="n">
        <v>3</v>
      </c>
      <c r="E16" s="38" t="n">
        <v>1</v>
      </c>
      <c r="F16" s="38" t="n">
        <v>60</v>
      </c>
      <c r="G16" s="23" t="n">
        <f aca="false">D16*E16*F16</f>
        <v>180</v>
      </c>
      <c r="H16" s="23" t="n">
        <f aca="false">G16</f>
        <v>180</v>
      </c>
      <c r="I16" s="24" t="n">
        <v>0</v>
      </c>
      <c r="J16" s="24" t="n">
        <v>0</v>
      </c>
      <c r="K16" s="24"/>
      <c r="L16" s="22"/>
    </row>
    <row r="17" s="25" customFormat="true" ht="12.75" hidden="false" customHeight="false" outlineLevel="0" collapsed="false">
      <c r="A17" s="21"/>
      <c r="B17" s="37" t="s">
        <v>31</v>
      </c>
      <c r="C17" s="37" t="s">
        <v>28</v>
      </c>
      <c r="D17" s="38" t="n">
        <v>3</v>
      </c>
      <c r="E17" s="38" t="n">
        <v>1</v>
      </c>
      <c r="F17" s="38" t="n">
        <v>20</v>
      </c>
      <c r="G17" s="23" t="n">
        <f aca="false">D17*E17*F16:F17</f>
        <v>60</v>
      </c>
      <c r="H17" s="23" t="n">
        <f aca="false">G17</f>
        <v>60</v>
      </c>
      <c r="I17" s="24" t="n">
        <v>0</v>
      </c>
      <c r="J17" s="24" t="n">
        <v>0</v>
      </c>
      <c r="K17" s="24"/>
      <c r="L17" s="22"/>
    </row>
    <row r="18" s="25" customFormat="true" ht="12.75" hidden="false" customHeight="false" outlineLevel="0" collapsed="false">
      <c r="A18" s="21"/>
      <c r="B18" s="37" t="s">
        <v>32</v>
      </c>
      <c r="C18" s="37" t="s">
        <v>33</v>
      </c>
      <c r="D18" s="38" t="n">
        <v>3</v>
      </c>
      <c r="E18" s="38" t="n">
        <v>5</v>
      </c>
      <c r="F18" s="38" t="n">
        <v>205</v>
      </c>
      <c r="G18" s="23" t="n">
        <f aca="false">D18*E18*F18</f>
        <v>3075</v>
      </c>
      <c r="H18" s="23" t="n">
        <f aca="false">G18</f>
        <v>3075</v>
      </c>
      <c r="I18" s="24" t="n">
        <v>0</v>
      </c>
      <c r="J18" s="24" t="n">
        <v>0</v>
      </c>
      <c r="K18" s="24"/>
      <c r="L18" s="22"/>
    </row>
    <row r="19" s="25" customFormat="true" ht="12.75" hidden="false" customHeight="false" outlineLevel="0" collapsed="false">
      <c r="A19" s="21"/>
      <c r="B19" s="22" t="s">
        <v>34</v>
      </c>
      <c r="C19" s="22" t="s">
        <v>35</v>
      </c>
      <c r="D19" s="21" t="n">
        <v>3</v>
      </c>
      <c r="E19" s="21" t="n">
        <v>2</v>
      </c>
      <c r="F19" s="21" t="n">
        <v>15</v>
      </c>
      <c r="G19" s="23" t="n">
        <f aca="false">D19*E19*F19</f>
        <v>90</v>
      </c>
      <c r="H19" s="23" t="n">
        <f aca="false">G19</f>
        <v>90</v>
      </c>
      <c r="I19" s="24" t="n">
        <v>0</v>
      </c>
      <c r="J19" s="24" t="n">
        <v>0</v>
      </c>
      <c r="K19" s="24"/>
      <c r="L19" s="22"/>
    </row>
    <row r="20" s="25" customFormat="true" ht="35.05" hidden="false" customHeight="false" outlineLevel="0" collapsed="false">
      <c r="A20" s="21"/>
      <c r="B20" s="22" t="s">
        <v>36</v>
      </c>
      <c r="C20" s="22"/>
      <c r="D20" s="21"/>
      <c r="E20" s="21"/>
      <c r="F20" s="21"/>
      <c r="G20" s="23" t="n">
        <v>100</v>
      </c>
      <c r="H20" s="23" t="n">
        <f aca="false">G20</f>
        <v>100</v>
      </c>
      <c r="I20" s="24" t="n">
        <v>0</v>
      </c>
      <c r="J20" s="24" t="n">
        <v>0</v>
      </c>
      <c r="K20" s="24"/>
      <c r="L20" s="22" t="s">
        <v>37</v>
      </c>
    </row>
    <row r="21" s="25" customFormat="true" ht="12.75" hidden="false" customHeight="false" outlineLevel="0" collapsed="false">
      <c r="A21" s="21"/>
      <c r="B21" s="21" t="s">
        <v>38</v>
      </c>
      <c r="C21" s="22"/>
      <c r="D21" s="21"/>
      <c r="E21" s="21"/>
      <c r="F21" s="21"/>
      <c r="G21" s="23" t="n">
        <f aca="false">SUM(G15:G20)</f>
        <v>8905</v>
      </c>
      <c r="H21" s="24" t="n">
        <f aca="false">SUM(H15:H20)</f>
        <v>8905</v>
      </c>
      <c r="I21" s="24" t="n">
        <f aca="false">SUM(I15:I20)</f>
        <v>0</v>
      </c>
      <c r="J21" s="24" t="n">
        <f aca="false">SUM(J15:J20)</f>
        <v>0</v>
      </c>
      <c r="K21" s="24"/>
      <c r="L21" s="22"/>
    </row>
    <row r="22" customFormat="false" ht="23.85" hidden="false" customHeight="false" outlineLevel="0" collapsed="false">
      <c r="A22" s="39" t="n">
        <v>3</v>
      </c>
      <c r="B22" s="40" t="s">
        <v>39</v>
      </c>
      <c r="C22" s="41" t="s">
        <v>40</v>
      </c>
      <c r="D22" s="41" t="n">
        <v>1</v>
      </c>
      <c r="E22" s="41" t="n">
        <v>18</v>
      </c>
      <c r="F22" s="41" t="n">
        <v>100</v>
      </c>
      <c r="G22" s="42" t="n">
        <f aca="false">D22*E22*F22</f>
        <v>1800</v>
      </c>
      <c r="H22" s="42" t="n">
        <f aca="false">G22</f>
        <v>1800</v>
      </c>
      <c r="I22" s="41" t="n">
        <v>0</v>
      </c>
      <c r="J22" s="41" t="n">
        <v>0</v>
      </c>
      <c r="K22" s="41"/>
      <c r="L22" s="41"/>
    </row>
    <row r="23" s="5" customFormat="true" ht="12.75" hidden="false" customHeight="false" outlineLevel="0" collapsed="false">
      <c r="A23" s="43"/>
      <c r="B23" s="29" t="s">
        <v>25</v>
      </c>
      <c r="C23" s="44"/>
      <c r="D23" s="44"/>
      <c r="E23" s="44"/>
      <c r="F23" s="44"/>
      <c r="G23" s="45" t="n">
        <f aca="false">SUM(G22)</f>
        <v>1800</v>
      </c>
      <c r="H23" s="45" t="n">
        <f aca="false">SUM(H22)</f>
        <v>1800</v>
      </c>
      <c r="I23" s="45" t="n">
        <f aca="false">SUM(I22)</f>
        <v>0</v>
      </c>
      <c r="J23" s="45" t="n">
        <f aca="false">SUM(J22)</f>
        <v>0</v>
      </c>
      <c r="K23" s="45"/>
      <c r="L23" s="46"/>
    </row>
    <row r="24" s="20" customFormat="true" ht="12.75" hidden="false" customHeight="false" outlineLevel="0" collapsed="false">
      <c r="A24" s="26"/>
      <c r="B24" s="26"/>
      <c r="C24" s="19"/>
      <c r="D24" s="19"/>
      <c r="E24" s="19"/>
      <c r="F24" s="19"/>
      <c r="G24" s="47"/>
      <c r="H24" s="47"/>
      <c r="I24" s="47"/>
      <c r="J24" s="47"/>
      <c r="K24" s="47"/>
      <c r="L24" s="19"/>
    </row>
    <row r="25" s="20" customFormat="true" ht="12.75" hidden="false" customHeight="false" outlineLevel="0" collapsed="false">
      <c r="A25" s="26"/>
      <c r="B25" s="26"/>
      <c r="C25" s="19"/>
      <c r="D25" s="19"/>
      <c r="E25" s="19"/>
      <c r="F25" s="19"/>
      <c r="G25" s="47"/>
      <c r="H25" s="47"/>
      <c r="I25" s="47"/>
      <c r="J25" s="47"/>
      <c r="K25" s="47"/>
      <c r="L25" s="19"/>
    </row>
    <row r="26" s="20" customFormat="true" ht="12.75" hidden="false" customHeight="false" outlineLevel="0" collapsed="false">
      <c r="A26" s="26"/>
      <c r="B26" s="26"/>
      <c r="C26" s="19"/>
      <c r="D26" s="19"/>
      <c r="E26" s="19"/>
      <c r="F26" s="19"/>
      <c r="G26" s="47"/>
      <c r="H26" s="47"/>
      <c r="I26" s="47"/>
      <c r="J26" s="47"/>
      <c r="K26" s="47"/>
      <c r="L26" s="19"/>
    </row>
    <row r="27" s="20" customFormat="true" ht="12.75" hidden="false" customHeight="false" outlineLevel="0" collapsed="false">
      <c r="A27" s="26"/>
      <c r="B27" s="26"/>
      <c r="C27" s="19"/>
      <c r="D27" s="19"/>
      <c r="E27" s="19"/>
      <c r="F27" s="19"/>
      <c r="G27" s="47"/>
      <c r="H27" s="47"/>
      <c r="I27" s="47"/>
      <c r="J27" s="47"/>
      <c r="K27" s="47"/>
      <c r="L27" s="19"/>
    </row>
    <row r="28" s="20" customFormat="true" ht="12.75" hidden="false" customHeight="false" outlineLevel="0" collapsed="false">
      <c r="A28" s="26"/>
      <c r="B28" s="26"/>
      <c r="C28" s="19"/>
      <c r="D28" s="19"/>
      <c r="E28" s="19"/>
      <c r="F28" s="19"/>
      <c r="G28" s="47"/>
      <c r="H28" s="47"/>
      <c r="I28" s="47"/>
      <c r="J28" s="47"/>
      <c r="K28" s="47"/>
      <c r="L28" s="19"/>
    </row>
    <row r="29" s="20" customFormat="true" ht="12.75" hidden="false" customHeight="false" outlineLevel="0" collapsed="false">
      <c r="A29" s="26"/>
      <c r="B29" s="26"/>
      <c r="C29" s="19"/>
      <c r="D29" s="19"/>
      <c r="E29" s="19"/>
      <c r="F29" s="19"/>
      <c r="G29" s="47"/>
      <c r="H29" s="47"/>
      <c r="I29" s="47"/>
      <c r="J29" s="47"/>
      <c r="K29" s="47"/>
      <c r="L29" s="19"/>
    </row>
    <row r="30" s="20" customFormat="true" ht="12.75" hidden="false" customHeight="false" outlineLevel="0" collapsed="false">
      <c r="A30" s="26"/>
      <c r="B30" s="26"/>
      <c r="C30" s="19"/>
      <c r="D30" s="19"/>
      <c r="E30" s="19"/>
      <c r="F30" s="19"/>
      <c r="G30" s="47"/>
      <c r="H30" s="47"/>
      <c r="I30" s="47"/>
      <c r="J30" s="47"/>
      <c r="K30" s="47"/>
      <c r="L30" s="19"/>
    </row>
    <row r="31" s="20" customFormat="true" ht="12.75" hidden="false" customHeight="false" outlineLevel="0" collapsed="false">
      <c r="A31" s="26"/>
      <c r="B31" s="26"/>
      <c r="C31" s="19"/>
      <c r="D31" s="19"/>
      <c r="E31" s="19"/>
      <c r="F31" s="19"/>
      <c r="G31" s="47"/>
      <c r="H31" s="47"/>
      <c r="I31" s="47"/>
      <c r="J31" s="47"/>
      <c r="K31" s="47"/>
      <c r="L31" s="19"/>
    </row>
    <row r="32" s="20" customFormat="true" ht="12.75" hidden="false" customHeight="false" outlineLevel="0" collapsed="false">
      <c r="A32" s="26"/>
      <c r="B32" s="26"/>
      <c r="C32" s="19"/>
      <c r="D32" s="19"/>
      <c r="E32" s="19"/>
      <c r="F32" s="19"/>
      <c r="G32" s="47"/>
      <c r="H32" s="47"/>
      <c r="I32" s="47"/>
      <c r="J32" s="47"/>
      <c r="K32" s="47"/>
      <c r="L32" s="19"/>
    </row>
    <row r="33" s="20" customFormat="true" ht="12.75" hidden="false" customHeight="false" outlineLevel="0" collapsed="false">
      <c r="A33" s="26"/>
      <c r="B33" s="26"/>
      <c r="C33" s="19"/>
      <c r="D33" s="19"/>
      <c r="E33" s="19"/>
      <c r="F33" s="19"/>
      <c r="G33" s="47"/>
      <c r="H33" s="47"/>
      <c r="I33" s="47"/>
      <c r="J33" s="47"/>
      <c r="K33" s="47"/>
      <c r="L33" s="19"/>
    </row>
    <row r="34" customFormat="false" ht="12.75" hidden="false" customHeight="false" outlineLevel="0" collapsed="false">
      <c r="A34" s="41"/>
      <c r="B34" s="48" t="s">
        <v>41</v>
      </c>
      <c r="C34" s="41"/>
      <c r="D34" s="41"/>
      <c r="E34" s="41"/>
      <c r="F34" s="41"/>
      <c r="G34" s="42"/>
      <c r="H34" s="41"/>
      <c r="I34" s="41"/>
      <c r="J34" s="41"/>
      <c r="K34" s="41"/>
      <c r="L34" s="41"/>
    </row>
    <row r="35" s="2" customFormat="true" ht="12.75" hidden="false" customHeight="false" outlineLevel="0" collapsed="false">
      <c r="G35" s="49"/>
    </row>
    <row r="36" s="2" customFormat="true" ht="12.75" hidden="false" customHeight="false" outlineLevel="0" collapsed="false">
      <c r="G36" s="49"/>
    </row>
  </sheetData>
  <mergeCells count="1">
    <mergeCell ref="D7:E7"/>
  </mergeCells>
  <printOptions headings="false" gridLines="false" gridLinesSet="true" horizontalCentered="false" verticalCentered="false"/>
  <pageMargins left="0.170138888888889" right="0.170138888888889" top="0.420138888888889" bottom="0.2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10.7265625" defaultRowHeight="12.75" customHeight="false" zeroHeight="false" outlineLevelRow="0" outlineLevelCol="0"/>
  <cols>
    <col collapsed="false" customWidth="true" hidden="false" outlineLevel="0" max="1" min="1" style="1" width="4.27"/>
    <col collapsed="false" customWidth="true" hidden="false" outlineLevel="0" max="2" min="2" style="2" width="32.63"/>
    <col collapsed="false" customWidth="true" hidden="false" outlineLevel="0" max="3" min="3" style="2" width="13.91"/>
    <col collapsed="false" customWidth="true" hidden="false" outlineLevel="0" max="4" min="4" style="2" width="5"/>
    <col collapsed="false" customWidth="true" hidden="false" outlineLevel="0" max="5" min="5" style="2" width="7.27"/>
    <col collapsed="false" customWidth="true" hidden="false" outlineLevel="0" max="6" min="6" style="2" width="10.27"/>
    <col collapsed="false" customWidth="true" hidden="false" outlineLevel="0" max="7" min="7" style="3" width="16.82"/>
    <col collapsed="false" customWidth="true" hidden="false" outlineLevel="0" max="8" min="8" style="4" width="14.27"/>
    <col collapsed="false" customWidth="true" hidden="false" outlineLevel="0" max="9" min="9" style="4" width="17.36"/>
    <col collapsed="false" customWidth="true" hidden="false" outlineLevel="0" max="10" min="10" style="4" width="14.09"/>
    <col collapsed="false" customWidth="true" hidden="false" outlineLevel="0" max="11" min="11" style="4" width="15.63"/>
    <col collapsed="false" customWidth="true" hidden="false" outlineLevel="0" max="12" min="12" style="2" width="23.73"/>
    <col collapsed="false" customWidth="false" hidden="false" outlineLevel="0" max="13" min="13" style="2" width="10.72"/>
  </cols>
  <sheetData>
    <row r="1" customFormat="false" ht="12.75" hidden="false" customHeight="false" outlineLevel="0" collapsed="false">
      <c r="B1" s="5" t="s">
        <v>0</v>
      </c>
    </row>
    <row r="2" customFormat="false" ht="12.75" hidden="false" customHeight="false" outlineLevel="0" collapsed="false">
      <c r="B2" s="2" t="s">
        <v>1</v>
      </c>
    </row>
    <row r="3" customFormat="false" ht="12.75" hidden="false" customHeight="false" outlineLevel="0" collapsed="false">
      <c r="B3" s="2" t="s">
        <v>2</v>
      </c>
    </row>
    <row r="4" customFormat="false" ht="12.75" hidden="false" customHeight="false" outlineLevel="0" collapsed="false">
      <c r="B4" s="2" t="s">
        <v>3</v>
      </c>
    </row>
    <row r="5" customFormat="false" ht="12.75" hidden="false" customHeight="false" outlineLevel="0" collapsed="false">
      <c r="B5" s="2" t="s">
        <v>4</v>
      </c>
    </row>
    <row r="6" customFormat="false" ht="12.75" hidden="false" customHeight="false" outlineLevel="0" collapsed="false">
      <c r="B6" s="6" t="s">
        <v>5</v>
      </c>
    </row>
    <row r="7" customFormat="false" ht="46.25" hidden="false" customHeight="true" outlineLevel="0" collapsed="false">
      <c r="A7" s="7"/>
      <c r="B7" s="8" t="s">
        <v>6</v>
      </c>
      <c r="C7" s="8" t="s">
        <v>7</v>
      </c>
      <c r="D7" s="8" t="s">
        <v>8</v>
      </c>
      <c r="E7" s="8"/>
      <c r="F7" s="8" t="s">
        <v>9</v>
      </c>
      <c r="G7" s="9" t="s">
        <v>10</v>
      </c>
      <c r="H7" s="10" t="s">
        <v>11</v>
      </c>
      <c r="I7" s="10" t="s">
        <v>12</v>
      </c>
      <c r="J7" s="10" t="s">
        <v>13</v>
      </c>
      <c r="K7" s="10" t="s">
        <v>14</v>
      </c>
      <c r="L7" s="11" t="s">
        <v>15</v>
      </c>
    </row>
    <row r="8" customFormat="false" ht="24.75" hidden="false" customHeight="true" outlineLevel="0" collapsed="false">
      <c r="A8" s="12" t="n">
        <v>1</v>
      </c>
      <c r="B8" s="13" t="s">
        <v>16</v>
      </c>
      <c r="C8" s="14"/>
      <c r="D8" s="15"/>
      <c r="E8" s="16"/>
      <c r="F8" s="14"/>
      <c r="G8" s="17"/>
      <c r="H8" s="18"/>
      <c r="I8" s="18"/>
      <c r="J8" s="18"/>
      <c r="K8" s="18"/>
      <c r="L8" s="19"/>
      <c r="M8" s="20"/>
    </row>
    <row r="9" customFormat="false" ht="27.75" hidden="false" customHeight="true" outlineLevel="0" collapsed="false">
      <c r="A9" s="21"/>
      <c r="B9" s="22" t="s">
        <v>17</v>
      </c>
      <c r="C9" s="22" t="s">
        <v>18</v>
      </c>
      <c r="D9" s="21" t="n">
        <v>1</v>
      </c>
      <c r="E9" s="21" t="n">
        <v>1</v>
      </c>
      <c r="F9" s="21" t="n">
        <v>200</v>
      </c>
      <c r="G9" s="23" t="n">
        <f aca="false">D9*E9*F9</f>
        <v>200</v>
      </c>
      <c r="H9" s="24" t="n">
        <v>0</v>
      </c>
      <c r="I9" s="24" t="n">
        <v>200</v>
      </c>
      <c r="J9" s="24" t="n">
        <v>0</v>
      </c>
      <c r="K9" s="24"/>
      <c r="L9" s="22" t="s">
        <v>19</v>
      </c>
      <c r="M9" s="25"/>
    </row>
    <row r="10" customFormat="false" ht="12.75" hidden="false" customHeight="false" outlineLevel="0" collapsed="false">
      <c r="A10" s="26"/>
      <c r="B10" s="19" t="s">
        <v>20</v>
      </c>
      <c r="C10" s="19" t="s">
        <v>21</v>
      </c>
      <c r="D10" s="26" t="n">
        <v>1</v>
      </c>
      <c r="E10" s="26" t="n">
        <v>1</v>
      </c>
      <c r="F10" s="26" t="n">
        <v>20</v>
      </c>
      <c r="G10" s="27" t="n">
        <f aca="false">D10*E10*F10</f>
        <v>20</v>
      </c>
      <c r="H10" s="28" t="n">
        <v>20</v>
      </c>
      <c r="I10" s="28" t="n">
        <v>0</v>
      </c>
      <c r="J10" s="28" t="n">
        <v>0</v>
      </c>
      <c r="K10" s="28"/>
      <c r="L10" s="19"/>
      <c r="M10" s="20"/>
    </row>
    <row r="11" customFormat="false" ht="12.75" hidden="false" customHeight="false" outlineLevel="0" collapsed="false">
      <c r="A11" s="26"/>
      <c r="B11" s="19" t="s">
        <v>22</v>
      </c>
      <c r="C11" s="19" t="s">
        <v>23</v>
      </c>
      <c r="D11" s="26" t="n">
        <v>40</v>
      </c>
      <c r="E11" s="26" t="n">
        <v>2</v>
      </c>
      <c r="F11" s="26" t="n">
        <v>1.5</v>
      </c>
      <c r="G11" s="27" t="n">
        <f aca="false">D11*E11*F11</f>
        <v>120</v>
      </c>
      <c r="H11" s="28" t="n">
        <v>120</v>
      </c>
      <c r="I11" s="28" t="n">
        <v>0</v>
      </c>
      <c r="J11" s="28" t="n">
        <v>0</v>
      </c>
      <c r="K11" s="28"/>
      <c r="L11" s="19"/>
      <c r="M11" s="20"/>
    </row>
    <row r="12" customFormat="false" ht="12.75" hidden="false" customHeight="false" outlineLevel="0" collapsed="false">
      <c r="A12" s="26"/>
      <c r="B12" s="19" t="s">
        <v>24</v>
      </c>
      <c r="C12" s="19" t="s">
        <v>23</v>
      </c>
      <c r="D12" s="26" t="n">
        <v>40</v>
      </c>
      <c r="E12" s="26" t="n">
        <v>1</v>
      </c>
      <c r="F12" s="26" t="n">
        <v>8</v>
      </c>
      <c r="G12" s="27" t="n">
        <f aca="false">D12*E12*F12</f>
        <v>320</v>
      </c>
      <c r="H12" s="28" t="n">
        <v>320</v>
      </c>
      <c r="I12" s="28"/>
      <c r="J12" s="28"/>
      <c r="K12" s="28"/>
      <c r="L12" s="19"/>
      <c r="M12" s="20"/>
    </row>
    <row r="13" customFormat="false" ht="27.75" hidden="false" customHeight="true" outlineLevel="0" collapsed="false">
      <c r="A13" s="26"/>
      <c r="B13" s="29" t="s">
        <v>25</v>
      </c>
      <c r="C13" s="30"/>
      <c r="D13" s="31"/>
      <c r="E13" s="31"/>
      <c r="F13" s="31"/>
      <c r="G13" s="32" t="n">
        <f aca="false">SUM(G9:G12)</f>
        <v>660</v>
      </c>
      <c r="H13" s="33" t="n">
        <f aca="false">SUM(H9:H12)</f>
        <v>460</v>
      </c>
      <c r="I13" s="33" t="n">
        <f aca="false">SUM(I9:I12)</f>
        <v>200</v>
      </c>
      <c r="J13" s="33" t="n">
        <f aca="false">SUM(J9:J12)</f>
        <v>0</v>
      </c>
      <c r="K13" s="33"/>
      <c r="L13" s="19"/>
      <c r="M13" s="34"/>
    </row>
    <row r="14" customFormat="false" ht="23.85" hidden="false" customHeight="false" outlineLevel="0" collapsed="false">
      <c r="A14" s="35" t="n">
        <v>2</v>
      </c>
      <c r="B14" s="36" t="s">
        <v>26</v>
      </c>
      <c r="C14" s="22"/>
      <c r="D14" s="21"/>
      <c r="E14" s="21"/>
      <c r="F14" s="21"/>
      <c r="G14" s="23"/>
      <c r="H14" s="24"/>
      <c r="I14" s="24" t="n">
        <v>0</v>
      </c>
      <c r="J14" s="24" t="n">
        <v>0</v>
      </c>
      <c r="K14" s="24"/>
      <c r="L14" s="22"/>
      <c r="M14" s="25"/>
    </row>
    <row r="15" customFormat="false" ht="12.75" hidden="false" customHeight="false" outlineLevel="0" collapsed="false">
      <c r="A15" s="21"/>
      <c r="B15" s="37" t="s">
        <v>27</v>
      </c>
      <c r="C15" s="37" t="s">
        <v>28</v>
      </c>
      <c r="D15" s="38" t="n">
        <v>3</v>
      </c>
      <c r="E15" s="38" t="n">
        <v>1</v>
      </c>
      <c r="F15" s="38" t="n">
        <v>1800</v>
      </c>
      <c r="G15" s="23" t="n">
        <f aca="false">D15*E15*F15</f>
        <v>5400</v>
      </c>
      <c r="H15" s="23" t="n">
        <f aca="false">G15</f>
        <v>5400</v>
      </c>
      <c r="I15" s="24" t="n">
        <v>0</v>
      </c>
      <c r="J15" s="24" t="n">
        <v>0</v>
      </c>
      <c r="K15" s="24"/>
      <c r="L15" s="22"/>
      <c r="M15" s="25"/>
    </row>
    <row r="16" customFormat="false" ht="12.75" hidden="false" customHeight="false" outlineLevel="0" collapsed="false">
      <c r="A16" s="21"/>
      <c r="B16" s="37" t="s">
        <v>29</v>
      </c>
      <c r="C16" s="37" t="s">
        <v>30</v>
      </c>
      <c r="D16" s="38" t="n">
        <v>3</v>
      </c>
      <c r="E16" s="38" t="n">
        <v>1</v>
      </c>
      <c r="F16" s="38" t="n">
        <v>60</v>
      </c>
      <c r="G16" s="23" t="n">
        <f aca="false">D16*E16*F16</f>
        <v>180</v>
      </c>
      <c r="H16" s="23" t="n">
        <f aca="false">G16</f>
        <v>180</v>
      </c>
      <c r="I16" s="24" t="n">
        <v>0</v>
      </c>
      <c r="J16" s="24" t="n">
        <v>0</v>
      </c>
      <c r="K16" s="24"/>
      <c r="L16" s="22"/>
      <c r="M16" s="25"/>
    </row>
    <row r="17" customFormat="false" ht="12.75" hidden="false" customHeight="false" outlineLevel="0" collapsed="false">
      <c r="A17" s="21"/>
      <c r="B17" s="37" t="s">
        <v>31</v>
      </c>
      <c r="C17" s="37" t="s">
        <v>28</v>
      </c>
      <c r="D17" s="38" t="n">
        <v>3</v>
      </c>
      <c r="E17" s="38" t="n">
        <v>1</v>
      </c>
      <c r="F17" s="38" t="n">
        <v>20</v>
      </c>
      <c r="G17" s="23" t="n">
        <f aca="false">D17*E17*F16:F17</f>
        <v>60</v>
      </c>
      <c r="H17" s="23" t="n">
        <f aca="false">G17</f>
        <v>60</v>
      </c>
      <c r="I17" s="24" t="n">
        <v>0</v>
      </c>
      <c r="J17" s="24" t="n">
        <v>0</v>
      </c>
      <c r="K17" s="24"/>
      <c r="L17" s="22"/>
      <c r="M17" s="25"/>
    </row>
    <row r="18" customFormat="false" ht="12.75" hidden="false" customHeight="false" outlineLevel="0" collapsed="false">
      <c r="A18" s="21"/>
      <c r="B18" s="37" t="s">
        <v>32</v>
      </c>
      <c r="C18" s="37" t="s">
        <v>33</v>
      </c>
      <c r="D18" s="38" t="n">
        <v>3</v>
      </c>
      <c r="E18" s="38" t="n">
        <v>5</v>
      </c>
      <c r="F18" s="38" t="n">
        <v>205</v>
      </c>
      <c r="G18" s="23" t="n">
        <f aca="false">D18*E18*F18</f>
        <v>3075</v>
      </c>
      <c r="H18" s="23" t="n">
        <f aca="false">G18</f>
        <v>3075</v>
      </c>
      <c r="I18" s="24" t="n">
        <v>0</v>
      </c>
      <c r="J18" s="24" t="n">
        <v>0</v>
      </c>
      <c r="K18" s="24"/>
      <c r="L18" s="22"/>
      <c r="M18" s="25"/>
    </row>
    <row r="19" customFormat="false" ht="12.75" hidden="false" customHeight="false" outlineLevel="0" collapsed="false">
      <c r="A19" s="21"/>
      <c r="B19" s="22" t="s">
        <v>34</v>
      </c>
      <c r="C19" s="22" t="s">
        <v>35</v>
      </c>
      <c r="D19" s="21" t="n">
        <v>3</v>
      </c>
      <c r="E19" s="21" t="n">
        <v>2</v>
      </c>
      <c r="F19" s="21" t="n">
        <v>15</v>
      </c>
      <c r="G19" s="23" t="n">
        <f aca="false">D19*E19*F19</f>
        <v>90</v>
      </c>
      <c r="H19" s="23" t="n">
        <f aca="false">G19</f>
        <v>90</v>
      </c>
      <c r="I19" s="24" t="n">
        <v>0</v>
      </c>
      <c r="J19" s="24" t="n">
        <v>0</v>
      </c>
      <c r="K19" s="24"/>
      <c r="L19" s="22"/>
      <c r="M19" s="25"/>
    </row>
    <row r="20" customFormat="false" ht="35.05" hidden="false" customHeight="false" outlineLevel="0" collapsed="false">
      <c r="A20" s="21"/>
      <c r="B20" s="22" t="s">
        <v>36</v>
      </c>
      <c r="C20" s="22"/>
      <c r="D20" s="21"/>
      <c r="E20" s="21"/>
      <c r="F20" s="21"/>
      <c r="G20" s="23" t="n">
        <v>100</v>
      </c>
      <c r="H20" s="23" t="n">
        <f aca="false">G20</f>
        <v>100</v>
      </c>
      <c r="I20" s="24" t="n">
        <v>0</v>
      </c>
      <c r="J20" s="24" t="n">
        <v>0</v>
      </c>
      <c r="K20" s="24"/>
      <c r="L20" s="22" t="s">
        <v>37</v>
      </c>
      <c r="M20" s="25"/>
    </row>
    <row r="21" customFormat="false" ht="12.75" hidden="false" customHeight="false" outlineLevel="0" collapsed="false">
      <c r="A21" s="21"/>
      <c r="B21" s="21" t="s">
        <v>38</v>
      </c>
      <c r="C21" s="22"/>
      <c r="D21" s="21"/>
      <c r="E21" s="21"/>
      <c r="F21" s="21"/>
      <c r="G21" s="23" t="n">
        <f aca="false">SUM(G15:G20)</f>
        <v>8905</v>
      </c>
      <c r="H21" s="24" t="n">
        <f aca="false">SUM(H15:H20)</f>
        <v>8905</v>
      </c>
      <c r="I21" s="24" t="n">
        <f aca="false">SUM(I15:I20)</f>
        <v>0</v>
      </c>
      <c r="J21" s="24" t="n">
        <f aca="false">SUM(J15:J20)</f>
        <v>0</v>
      </c>
      <c r="K21" s="24"/>
      <c r="L21" s="22"/>
      <c r="M21" s="25"/>
    </row>
    <row r="22" customFormat="false" ht="23.85" hidden="false" customHeight="false" outlineLevel="0" collapsed="false">
      <c r="A22" s="39" t="n">
        <v>3</v>
      </c>
      <c r="B22" s="40" t="s">
        <v>39</v>
      </c>
      <c r="C22" s="41" t="s">
        <v>40</v>
      </c>
      <c r="D22" s="41" t="n">
        <v>1</v>
      </c>
      <c r="E22" s="41" t="n">
        <v>18</v>
      </c>
      <c r="F22" s="41" t="n">
        <v>100</v>
      </c>
      <c r="G22" s="42" t="n">
        <f aca="false">D22*E22*F22</f>
        <v>1800</v>
      </c>
      <c r="H22" s="42" t="n">
        <f aca="false">G22</f>
        <v>1800</v>
      </c>
      <c r="I22" s="41" t="n">
        <v>0</v>
      </c>
      <c r="J22" s="41" t="n">
        <v>0</v>
      </c>
      <c r="K22" s="41"/>
      <c r="L22" s="41"/>
    </row>
    <row r="23" customFormat="false" ht="12.75" hidden="false" customHeight="false" outlineLevel="0" collapsed="false">
      <c r="A23" s="43"/>
      <c r="B23" s="29" t="s">
        <v>25</v>
      </c>
      <c r="C23" s="44"/>
      <c r="D23" s="44"/>
      <c r="E23" s="44"/>
      <c r="F23" s="44"/>
      <c r="G23" s="45" t="n">
        <f aca="false">SUM(G22)</f>
        <v>1800</v>
      </c>
      <c r="H23" s="45" t="n">
        <f aca="false">SUM(H22)</f>
        <v>1800</v>
      </c>
      <c r="I23" s="45" t="n">
        <f aca="false">SUM(I22)</f>
        <v>0</v>
      </c>
      <c r="J23" s="45" t="n">
        <f aca="false">SUM(J22)</f>
        <v>0</v>
      </c>
      <c r="K23" s="45"/>
      <c r="L23" s="46"/>
      <c r="M23" s="5"/>
    </row>
    <row r="24" customFormat="false" ht="12.75" hidden="false" customHeight="false" outlineLevel="0" collapsed="false">
      <c r="A24" s="26"/>
      <c r="B24" s="26"/>
      <c r="C24" s="19"/>
      <c r="D24" s="19"/>
      <c r="E24" s="19"/>
      <c r="F24" s="19"/>
      <c r="G24" s="47"/>
      <c r="H24" s="47"/>
      <c r="I24" s="47"/>
      <c r="J24" s="47"/>
      <c r="K24" s="47"/>
      <c r="L24" s="19"/>
      <c r="M24" s="20"/>
    </row>
    <row r="25" customFormat="false" ht="12.75" hidden="false" customHeight="false" outlineLevel="0" collapsed="false">
      <c r="A25" s="26"/>
      <c r="B25" s="26"/>
      <c r="C25" s="19"/>
      <c r="D25" s="19"/>
      <c r="E25" s="19"/>
      <c r="F25" s="19"/>
      <c r="G25" s="47"/>
      <c r="H25" s="47"/>
      <c r="I25" s="47"/>
      <c r="J25" s="47"/>
      <c r="K25" s="47"/>
      <c r="L25" s="19"/>
      <c r="M25" s="20"/>
    </row>
    <row r="26" customFormat="false" ht="12.75" hidden="false" customHeight="false" outlineLevel="0" collapsed="false">
      <c r="A26" s="26"/>
      <c r="B26" s="26"/>
      <c r="C26" s="19"/>
      <c r="D26" s="19"/>
      <c r="E26" s="19"/>
      <c r="F26" s="19"/>
      <c r="G26" s="47"/>
      <c r="H26" s="47"/>
      <c r="I26" s="47"/>
      <c r="J26" s="47"/>
      <c r="K26" s="47"/>
      <c r="L26" s="19"/>
      <c r="M26" s="20"/>
    </row>
    <row r="27" customFormat="false" ht="12.75" hidden="false" customHeight="false" outlineLevel="0" collapsed="false">
      <c r="A27" s="26"/>
      <c r="B27" s="26"/>
      <c r="C27" s="19"/>
      <c r="D27" s="19"/>
      <c r="E27" s="19"/>
      <c r="F27" s="19"/>
      <c r="G27" s="47"/>
      <c r="H27" s="47"/>
      <c r="I27" s="47"/>
      <c r="J27" s="47"/>
      <c r="K27" s="47"/>
      <c r="L27" s="19"/>
      <c r="M27" s="20"/>
    </row>
    <row r="28" customFormat="false" ht="12.75" hidden="false" customHeight="false" outlineLevel="0" collapsed="false">
      <c r="A28" s="26"/>
      <c r="B28" s="26"/>
      <c r="C28" s="19"/>
      <c r="D28" s="19"/>
      <c r="E28" s="19"/>
      <c r="F28" s="19"/>
      <c r="G28" s="47"/>
      <c r="H28" s="47"/>
      <c r="I28" s="47"/>
      <c r="J28" s="47"/>
      <c r="K28" s="47"/>
      <c r="L28" s="19"/>
      <c r="M28" s="20"/>
    </row>
    <row r="29" customFormat="false" ht="12.75" hidden="false" customHeight="false" outlineLevel="0" collapsed="false">
      <c r="A29" s="26"/>
      <c r="B29" s="26"/>
      <c r="C29" s="19"/>
      <c r="D29" s="19"/>
      <c r="E29" s="19"/>
      <c r="F29" s="19"/>
      <c r="G29" s="47"/>
      <c r="H29" s="47"/>
      <c r="I29" s="47"/>
      <c r="J29" s="47"/>
      <c r="K29" s="47"/>
      <c r="L29" s="19"/>
      <c r="M29" s="20"/>
    </row>
    <row r="30" customFormat="false" ht="12.75" hidden="false" customHeight="false" outlineLevel="0" collapsed="false">
      <c r="A30" s="26"/>
      <c r="B30" s="26"/>
      <c r="C30" s="19"/>
      <c r="D30" s="19"/>
      <c r="E30" s="19"/>
      <c r="F30" s="19"/>
      <c r="G30" s="47"/>
      <c r="H30" s="47"/>
      <c r="I30" s="47"/>
      <c r="J30" s="47"/>
      <c r="K30" s="47"/>
      <c r="L30" s="19"/>
      <c r="M30" s="20"/>
    </row>
    <row r="31" customFormat="false" ht="12.75" hidden="false" customHeight="false" outlineLevel="0" collapsed="false">
      <c r="A31" s="26"/>
      <c r="B31" s="26"/>
      <c r="C31" s="19"/>
      <c r="D31" s="19"/>
      <c r="E31" s="19"/>
      <c r="F31" s="19"/>
      <c r="G31" s="47"/>
      <c r="H31" s="47"/>
      <c r="I31" s="47"/>
      <c r="J31" s="47"/>
      <c r="K31" s="47"/>
      <c r="L31" s="19"/>
      <c r="M31" s="20"/>
    </row>
    <row r="32" customFormat="false" ht="12.75" hidden="false" customHeight="false" outlineLevel="0" collapsed="false">
      <c r="A32" s="26"/>
      <c r="B32" s="26"/>
      <c r="C32" s="19"/>
      <c r="D32" s="19"/>
      <c r="E32" s="19"/>
      <c r="F32" s="19"/>
      <c r="G32" s="47"/>
      <c r="H32" s="47"/>
      <c r="I32" s="47"/>
      <c r="J32" s="47"/>
      <c r="K32" s="47"/>
      <c r="L32" s="19"/>
      <c r="M32" s="20"/>
    </row>
    <row r="33" customFormat="false" ht="12.75" hidden="false" customHeight="false" outlineLevel="0" collapsed="false">
      <c r="A33" s="26"/>
      <c r="B33" s="26"/>
      <c r="C33" s="19"/>
      <c r="D33" s="19"/>
      <c r="E33" s="19"/>
      <c r="F33" s="19"/>
      <c r="G33" s="47"/>
      <c r="H33" s="47"/>
      <c r="I33" s="47"/>
      <c r="J33" s="47"/>
      <c r="K33" s="47"/>
      <c r="L33" s="19"/>
      <c r="M33" s="20"/>
    </row>
    <row r="34" customFormat="false" ht="12.75" hidden="false" customHeight="false" outlineLevel="0" collapsed="false">
      <c r="A34" s="41"/>
      <c r="B34" s="48" t="s">
        <v>41</v>
      </c>
      <c r="C34" s="41"/>
      <c r="D34" s="41"/>
      <c r="E34" s="41"/>
      <c r="F34" s="41"/>
      <c r="G34" s="42"/>
      <c r="H34" s="41"/>
      <c r="I34" s="41"/>
      <c r="J34" s="41"/>
      <c r="K34" s="41"/>
      <c r="L34" s="41"/>
    </row>
    <row r="35" customFormat="false" ht="12.75" hidden="false" customHeight="false" outlineLevel="0" collapsed="false">
      <c r="A35" s="2"/>
      <c r="G35" s="49"/>
      <c r="H35" s="2"/>
      <c r="I35" s="2"/>
      <c r="J35" s="2"/>
      <c r="K35" s="2"/>
    </row>
    <row r="36" customFormat="false" ht="12.75" hidden="false" customHeight="false" outlineLevel="0" collapsed="false">
      <c r="A36" s="2"/>
      <c r="G36" s="49"/>
      <c r="H36" s="2"/>
      <c r="I36" s="2"/>
      <c r="J36" s="2"/>
      <c r="K36" s="2"/>
    </row>
  </sheetData>
  <mergeCells count="1">
    <mergeCell ref="D7:E7"/>
  </mergeCells>
  <printOptions headings="false" gridLines="false" gridLinesSet="true" horizontalCentered="false" verticalCentered="false"/>
  <pageMargins left="0.170138888888889" right="0.170138888888889" top="0.420138888888889" bottom="0.2" header="0.511811023622047" footer="0.511811023622047"/>
  <pageSetup paperSize="9" scale="100" fitToWidth="0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C8D209AC065498AD9538CE384415E" ma:contentTypeVersion="16" ma:contentTypeDescription="Create a new document." ma:contentTypeScope="" ma:versionID="3a9cf3f346d89a96a67c603fa4451699">
  <xsd:schema xmlns:xsd="http://www.w3.org/2001/XMLSchema" xmlns:xs="http://www.w3.org/2001/XMLSchema" xmlns:p="http://schemas.microsoft.com/office/2006/metadata/properties" xmlns:ns2="08b3bec5-fc6e-4a4c-90d2-50207453952d" xmlns:ns3="cccc14b3-0b9f-408b-9cff-2c4cfab77503" targetNamespace="http://schemas.microsoft.com/office/2006/metadata/properties" ma:root="true" ma:fieldsID="6d99eb5dc42addab1e67c71b348bb65d" ns2:_="" ns3:_="">
    <xsd:import namespace="08b3bec5-fc6e-4a4c-90d2-50207453952d"/>
    <xsd:import namespace="cccc14b3-0b9f-408b-9cff-2c4cfab775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b3bec5-fc6e-4a4c-90d2-5020745395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950610a-93a1-4032-bb9d-54f25c389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cc14b3-0b9f-408b-9cff-2c4cfab77503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ce59445f-a2bb-4b49-bdbc-5d7d5c13ac3f}" ma:internalName="TaxCatchAll" ma:showField="CatchAllData" ma:web="cccc14b3-0b9f-408b-9cff-2c4cfab775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8b3bec5-fc6e-4a4c-90d2-50207453952d">
      <Terms xmlns="http://schemas.microsoft.com/office/infopath/2007/PartnerControls"/>
    </lcf76f155ced4ddcb4097134ff3c332f>
    <TaxCatchAll xmlns="cccc14b3-0b9f-408b-9cff-2c4cfab77503" xsi:nil="true"/>
  </documentManagement>
</p:properties>
</file>

<file path=customXml/itemProps1.xml><?xml version="1.0" encoding="utf-8"?>
<ds:datastoreItem xmlns:ds="http://schemas.openxmlformats.org/officeDocument/2006/customXml" ds:itemID="{86CF9111-3C72-4318-930B-B6BFEF80632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9E5D50A-7516-4FB7-A26E-FFC556039FA1}"/>
</file>

<file path=customXml/itemProps3.xml><?xml version="1.0" encoding="utf-8"?>
<ds:datastoreItem xmlns:ds="http://schemas.openxmlformats.org/officeDocument/2006/customXml" ds:itemID="{D6AFC3E1-C048-4404-9DB3-725B3FF31CC1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LibreOffice/26.2.2.2$Linux_X86_64 LibreOffice_project/620$Build-2</Application>
  <AppVersion>15.0000</AppVersion>
  <Company>Dept of Foreign Affairs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2015-11-19T07:15:49Z</dcterms:created>
  <dc:creator>vuthiminh</dc:creator>
  <dc:description/>
  <dc:language>en-US</dc:language>
  <cp:lastModifiedBy/>
  <cp:lastPrinted>2015-11-23T04:01:53Z</cp:lastPrinted>
  <dcterms:modified xsi:type="dcterms:W3CDTF">2026-05-06T01:14:55Z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0x010100B05C8D209AC065498AD9538CE384415E</vt:lpwstr>
  </property>
  <property fmtid="{D5CDD505-2E9C-101B-9397-08002B2CF9AE}" pid="3" name="Order">
    <vt:r8>1137200</vt:r8>
  </property>
</Properties>
</file>