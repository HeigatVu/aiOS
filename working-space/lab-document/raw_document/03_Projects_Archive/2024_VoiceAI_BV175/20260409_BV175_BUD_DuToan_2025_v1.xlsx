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ướng dẫn chung" sheetId="1" state="visible" r:id="rId3"/>
    <sheet name="Tổng kinh phí" sheetId="2" state="visible" r:id="rId4"/>
    <sheet name="1a Thù lao các chức danh" sheetId="3" state="visible" r:id="rId5"/>
    <sheet name="1a.Thulaothamgianhiemvu-12Thang" sheetId="4" state="visible" r:id="rId6"/>
    <sheet name="2. Nguyên vật liệu" sheetId="5" state="hidden" r:id="rId7"/>
    <sheet name="Sheet1" sheetId="6" state="hidden" r:id="rId8"/>
    <sheet name="3. Thiết bị,máy móc" sheetId="7" state="hidden" r:id="rId9"/>
    <sheet name="4. Xây dựng, sửa chữa nhỏ" sheetId="8" state="hidden" r:id="rId10"/>
    <sheet name="5. Chi khác" sheetId="9" state="visible" r:id="rId11"/>
  </sheets>
  <definedNames>
    <definedName function="false" hidden="false" localSheetId="1" name="_xlnm.Print_Area" vbProcedure="false">'Tổng kinh phí'!$A$1:$K$14</definedName>
    <definedName function="false" hidden="false" localSheetId="3" name="OLE_LINK1" vbProcedure="false">'1a.thulaothamgianhiemvu-12thang'!#ref!</definedName>
    <definedName function="false" hidden="false" localSheetId="6" name="_ftn1" vbProcedure="false">'3. Thiết bị,máy móc'!$A$21</definedName>
    <definedName function="false" hidden="false" localSheetId="6" name="_ftn2" vbProcedure="false">'3. Thiết bị,máy móc'!$A$22</definedName>
    <definedName function="false" hidden="false" localSheetId="6" name="_ftnref1" vbProcedure="false">'3. thiết bị,máy móc'!#ref!</definedName>
    <definedName function="false" hidden="false" localSheetId="6" name="_ftnref2" vbProcedure="false">'3. thiết bị,máy móc'!#ref!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<sst xmlns="http://schemas.openxmlformats.org/spreadsheetml/2006/main" count="363" uniqueCount="220">
  <si>
    <t xml:space="preserve">HƯỚNG DẪN CHUNG LẬP DỰ TOÁN THỰC HIỆN NHIỆM VỤ KH&amp;CN</t>
  </si>
  <si>
    <t xml:space="preserve">Stt</t>
  </si>
  <si>
    <t xml:space="preserve">Nội dung</t>
  </si>
  <si>
    <t xml:space="preserve">Hướng dẫn</t>
  </si>
  <si>
    <t xml:space="preserve">Thù lao tham gia nhiệm vụ</t>
  </si>
  <si>
    <t xml:space="preserve">Bước 1: Điền định mức thù lao tháng của chủ nhiệm đề tài (DMCN) (tối đa 40 triệu đồng/tháng)</t>
  </si>
  <si>
    <t xml:space="preserve">Bước 2: Điền nội dung, công việc tương ứng (có chi thù lao tham gia cho các thành viên) theo kế hoạch dự kiến trong mục "Kế hoạch triển khai" của Thuyết minh đề tài.
Lưu ý: - Nội dung nghiên cứu đã được tính vào thù lao thực hiện đề tài, không được trùng lắp với nội dung dịch vụ thuê ngoài 
           - Thời gian đi điều tra, khảo sát, thu thập dữ liệu không tính vào thời gian quy đổi để chi thù lao tham gia thực hiện nhiệm vụ, chỉ tính công tác phí và chi phí điều tra, xử lý số liệu.</t>
  </si>
  <si>
    <t xml:space="preserve">Bước 3: Điền tên thành viên theo kế hoạch dự kiến trong mục "Kế hoạch triển khai" của Thuyết minh đề tài., số tháng làm việc quy đổi của từng thành viên tương ứng</t>
  </si>
  <si>
    <t xml:space="preserve">Lưu ý:</t>
  </si>
  <si>
    <t xml:space="preserve"> - Ghi rõ chức danh khoa học, học vị, họ tên từng thành viên tham gia nghiên cứu đề tài</t>
  </si>
  <si>
    <t xml:space="preserve"> - Mỗi nội dung được chủ trì thực hiện bởi tối đa một thành viên chính (VD: TS. Nguyễn Văn A là thành viên chính của nội dung 1 thì thành viên chính của các công việc 1, 2, 3,… trong nội dung 1 đều phải do TS. Nguyễn Văn A chủ trì)</t>
  </si>
  <si>
    <t xml:space="preserve"> - Chủ nhiệm đề tài có thể thêm hoặc bớt dòng tuỳ theo số lượng thành viên, kỹ thuật viên tham gia nội dung nghiên cứu.</t>
  </si>
  <si>
    <t xml:space="preserve"> - Nếu số ngày quy đổi không đủ tháng thì số tháng thực hiện nhiệm vụ được quy đổi = số ngày dự kiến thực hiện nội dung, công việc theo kế hoạch trong thuyết minh/22</t>
  </si>
  <si>
    <t xml:space="preserve"> - Sau khi điền các bước 1,2,3, tiền công lao động khoa học theo từng nội dung công việc sẽ được tính theo công thức và tự động kết nối sang sheet Tổng kinh phí.</t>
  </si>
  <si>
    <t xml:space="preserve">Kinh phí quản lý </t>
  </si>
  <si>
    <t xml:space="preserve">Bằng đúng 5% tổng kinh phí thực hiện đề tài (Đã lập sẵn công thức tính)</t>
  </si>
  <si>
    <t xml:space="preserve">Phụ lục</t>
  </si>
  <si>
    <t xml:space="preserve">DỰ TOÁN KINH PHÍ THỰC HIỆN ĐỀ TÀI </t>
  </si>
  <si>
    <t xml:space="preserve">Đơn vị tính: triệu đồng</t>
  </si>
  <si>
    <t xml:space="preserve">TT</t>
  </si>
  <si>
    <t xml:space="preserve">Nội dung các khoản chi</t>
  </si>
  <si>
    <t xml:space="preserve">Tổng kinh phí</t>
  </si>
  <si>
    <t xml:space="preserve">Nguồn vốn</t>
  </si>
  <si>
    <t xml:space="preserve">Kinh phí Bệnh viện</t>
  </si>
  <si>
    <t xml:space="preserve">Tự có</t>
  </si>
  <si>
    <t xml:space="preserve">Khác</t>
  </si>
  <si>
    <t xml:space="preserve">Tổng số</t>
  </si>
  <si>
    <t xml:space="preserve">Trong đó, khoán chi theo quy định*</t>
  </si>
  <si>
    <t xml:space="preserve">Năm thứ nhất</t>
  </si>
  <si>
    <t xml:space="preserve">Năm thứ hai</t>
  </si>
  <si>
    <t xml:space="preserve">Trong đó, khoán chi theo quy   định *</t>
  </si>
  <si>
    <t xml:space="preserve">4=(6+8+10)</t>
  </si>
  <si>
    <t xml:space="preserve">5=(7+9+11)</t>
  </si>
  <si>
    <t xml:space="preserve">Chi thù lao thực hiện đề tài</t>
  </si>
  <si>
    <r>
      <rPr>
        <b val="true"/>
        <sz val="12"/>
        <color theme="1"/>
        <rFont val="Times New Roman"/>
        <family val="1"/>
        <charset val="1"/>
      </rPr>
      <t xml:space="preserve">Thuê chuyên gia
</t>
    </r>
    <r>
      <rPr>
        <sz val="12"/>
        <color theme="1"/>
        <rFont val="Times New Roman"/>
        <family val="1"/>
        <charset val="1"/>
      </rPr>
      <t xml:space="preserve">- Trong nước
- Nước ngoài</t>
    </r>
  </si>
  <si>
    <t xml:space="preserve">Nguyên vật liệu, năng lượng</t>
  </si>
  <si>
    <t xml:space="preserve">Thiết bị, máy móc</t>
  </si>
  <si>
    <t xml:space="preserve">Xây dựng, sửa chữa nhỏ</t>
  </si>
  <si>
    <t xml:space="preserve">Chi khác</t>
  </si>
  <si>
    <t xml:space="preserve">Tổng cộng</t>
  </si>
  <si>
    <t xml:space="preserve">Khoản 1. Thù lao tham gia thực hiện đề tài</t>
  </si>
  <si>
    <t xml:space="preserve">TỔNG HỢP DỰ TOÁN CHI THÙ LAO THỰC HIỆN ĐỀ TÀI</t>
  </si>
  <si>
    <t xml:space="preserve">Số TT</t>
  </si>
  <si>
    <t xml:space="preserve">Chức danh</t>
  </si>
  <si>
    <t xml:space="preserve">Tổng số người</t>
  </si>
  <si>
    <t xml:space="preserve">Tổng số tháng công quy đổi</t>
  </si>
  <si>
    <t xml:space="preserve">Tổng kinh phí (triệu đồng)</t>
  </si>
  <si>
    <t xml:space="preserve">Ngoài kinh phí Bệnh viện</t>
  </si>
  <si>
    <t xml:space="preserve">Chủ nhiệm đề tài</t>
  </si>
  <si>
    <t xml:space="preserve">Thư ký khoa học</t>
  </si>
  <si>
    <t xml:space="preserve">Thành viên chính </t>
  </si>
  <si>
    <t xml:space="preserve">Thành viên </t>
  </si>
  <si>
    <t xml:space="preserve">Kỹ thuật viên, nhân viên hỗ trợ </t>
  </si>
  <si>
    <t xml:space="preserve">Cộng:</t>
  </si>
  <si>
    <t xml:space="preserve">DỰ TOÁN CHI TIẾT THEO CÁC CHỨC DANH THỰC HIỆN ĐỀ TÀI</t>
  </si>
  <si>
    <t xml:space="preserve">STT</t>
  </si>
  <si>
    <t xml:space="preserve">Nội dung công việc</t>
  </si>
  <si>
    <t xml:space="preserve">Chức danh 
nghiên cứu</t>
  </si>
  <si>
    <r>
      <rPr>
        <b val="true"/>
        <sz val="12"/>
        <rFont val="Times New Roman"/>
        <family val="1"/>
        <charset val="1"/>
      </rPr>
      <t xml:space="preserve">Hệ số lao động khoa học (H</t>
    </r>
    <r>
      <rPr>
        <b val="true"/>
        <sz val="9"/>
        <rFont val="Times New Roman"/>
        <family val="1"/>
        <charset val="1"/>
      </rPr>
      <t xml:space="preserve">CD</t>
    </r>
    <r>
      <rPr>
        <b val="true"/>
        <sz val="12"/>
        <rFont val="Times New Roman"/>
        <family val="1"/>
        <charset val="1"/>
      </rPr>
      <t xml:space="preserve">)</t>
    </r>
  </si>
  <si>
    <t xml:space="preserve">Số người trong nhóm chức danh</t>
  </si>
  <si>
    <t xml:space="preserve">Định mức thù lao tháng của chủ nhiệm</t>
  </si>
  <si>
    <t xml:space="preserve">Tổng số tháng
công quy đổi của nhóm chức danh</t>
  </si>
  <si>
    <t xml:space="preserve">Tổng thù lao thực hiện đề tài</t>
  </si>
  <si>
    <t xml:space="preserve">7=3x5x6</t>
  </si>
  <si>
    <t xml:space="preserve">I</t>
  </si>
  <si>
    <t xml:space="preserve">Xây dựng thuyết minh đề tài</t>
  </si>
  <si>
    <t xml:space="preserve">Nội dung công việc này chủ nhiệm và thư ký khoa học của nhiệm vụ thực hiện, đã được tính trong thù lao của chủ nhiệm và thư ký khoa học, không tính thù lao riêng.</t>
  </si>
  <si>
    <t xml:space="preserve">II</t>
  </si>
  <si>
    <t xml:space="preserve">Nội dung nghiên cứu</t>
  </si>
  <si>
    <r>
      <rPr>
        <b val="true"/>
        <sz val="10"/>
        <color rgb="FF000000"/>
        <rFont val="Times New Roman"/>
        <family val="1"/>
        <charset val="1"/>
      </rPr>
      <t xml:space="preserve">Nội dung 1:</t>
    </r>
    <r>
      <rPr>
        <sz val="10"/>
        <color rgb="FF000000"/>
        <rFont val="Times New Roman"/>
        <family val="1"/>
        <charset val="1"/>
      </rPr>
      <t xml:space="preserve"> </t>
    </r>
    <r>
      <rPr>
        <b val="true"/>
        <sz val="10"/>
        <color rgb="FF000000"/>
        <rFont val="Times New Roman"/>
        <family val="1"/>
        <charset val="1"/>
      </rPr>
      <t xml:space="preserve">Xây dựng bộ công cụ đánh giá ngôn ngữ</t>
    </r>
  </si>
  <si>
    <t xml:space="preserve">Công việc 1.1: Tham khảo hệ thống công cụ đánh giá ngôn ngữ quốc tế</t>
  </si>
  <si>
    <t xml:space="preserve">Vũ Nguyễn Minh Đức</t>
  </si>
  <si>
    <t xml:space="preserve">TVC</t>
  </si>
  <si>
    <t xml:space="preserve">Lý Minh Đăng</t>
  </si>
  <si>
    <t xml:space="preserve">TV</t>
  </si>
  <si>
    <t xml:space="preserve">Công việc 1.2: Thực hiện dịch xuôi – dịch ngược, điều chỉnh ngữ cảnh tiếng Việt; thử nghiệm sơ bộ (pilot) và hiệu chỉnh.</t>
  </si>
  <si>
    <t xml:space="preserve">Phan Xuân Uy Hùng</t>
  </si>
  <si>
    <r>
      <rPr>
        <b val="true"/>
        <sz val="10"/>
        <color rgb="FF000000"/>
        <rFont val="Times New Roman"/>
        <family val="1"/>
        <charset val="1"/>
      </rPr>
      <t xml:space="preserve">Nội dung 2:</t>
    </r>
    <r>
      <rPr>
        <sz val="10"/>
        <color rgb="FF000000"/>
        <rFont val="Times New Roman"/>
        <family val="1"/>
        <charset val="1"/>
      </rPr>
      <t xml:space="preserve"> </t>
    </r>
    <r>
      <rPr>
        <b val="true"/>
        <sz val="10"/>
        <color rgb="FF000000"/>
        <rFont val="Times New Roman"/>
        <family val="1"/>
        <charset val="1"/>
      </rPr>
      <t xml:space="preserve">Đánh giá đặc điểm chức năng ngôn ngữ ở người lớn tuổi bình thường, Suy giảm nhận thức nhẹ và bệnh Alzheimer</t>
    </r>
  </si>
  <si>
    <t xml:space="preserve">Công việc 2.1: Thu thập dữ liệu.</t>
  </si>
  <si>
    <t xml:space="preserve">Hoàng Tiến Trọng Nghĩa</t>
  </si>
  <si>
    <t xml:space="preserve">Phan Ngọc Minh Thư</t>
  </si>
  <si>
    <t xml:space="preserve">Công việc 2.2: Thống kê mô tả đặc điểm ngôn ngữ từng nhóm. Phân tích sự khác biệt bằng các phép kiểm thống kê (ANOVA, Kruskal-Wallis, t-test...).</t>
  </si>
  <si>
    <r>
      <rPr>
        <b val="true"/>
        <sz val="10"/>
        <color rgb="FF000000"/>
        <rFont val="Times New Roman"/>
        <family val="1"/>
        <charset val="1"/>
      </rPr>
      <t xml:space="preserve">Nội dung 3:</t>
    </r>
    <r>
      <rPr>
        <sz val="10"/>
        <color rgb="FF000000"/>
        <rFont val="Times New Roman"/>
        <family val="1"/>
        <charset val="1"/>
      </rPr>
      <t xml:space="preserve"> </t>
    </r>
    <r>
      <rPr>
        <b val="true"/>
        <sz val="10"/>
        <color rgb="FF000000"/>
        <rFont val="Times New Roman"/>
        <family val="1"/>
        <charset val="1"/>
      </rPr>
      <t xml:space="preserve">Xây dựng mô hình ứng dụng thông minh dùng để chẩn đoán sớm và từ xa dành cho người cao tuổi có suy giảm ngôn ngữ</t>
    </r>
  </si>
  <si>
    <t xml:space="preserve">Công việc 3.1: Chuẩn hoá dữ liệu lời nói, trích xuất đặc trưng</t>
  </si>
  <si>
    <t xml:space="preserve">Hà Thị Thanh Hương</t>
  </si>
  <si>
    <t xml:space="preserve">Công việc 3.2: Xây dựng mô hình phân loại </t>
  </si>
  <si>
    <t xml:space="preserve">Công việc 3.3: Huấn luyện – kiểm định mô hình.</t>
  </si>
  <si>
    <t xml:space="preserve">Thù lao của Chủ nhiệm đề tài </t>
  </si>
  <si>
    <t xml:space="preserve">CNĐT</t>
  </si>
  <si>
    <t xml:space="preserve">Thù lao của Thư kí khoa học</t>
  </si>
  <si>
    <t xml:space="preserve">TK</t>
  </si>
  <si>
    <t xml:space="preserve">Xây dựng báo cáo tổng kết</t>
  </si>
  <si>
    <t xml:space="preserve">Nội dung công việc này do chủ nhiệm và thư ký khoa học của nhiệm vụ thực hiện, đã được tính trong thù lao của chủ nhiệm và thư ký khoa học, không tính thù lao riêng.</t>
  </si>
  <si>
    <t xml:space="preserve">TỔNG CỘNG</t>
  </si>
  <si>
    <t xml:space="preserve">Mỗi nội dung 1 TVC, nhiều TV được, đưa TVC lên trước</t>
  </si>
  <si>
    <t xml:space="preserve">Thư ký</t>
  </si>
  <si>
    <t xml:space="preserve">Kỹ thuật viên, nhân viên hỗ trợ</t>
  </si>
  <si>
    <t xml:space="preserve">Khoản 3. Nguyên vật liệu, năng lượng</t>
  </si>
  <si>
    <t xml:space="preserve">Đơn vị đo</t>
  </si>
  <si>
    <t xml:space="preserve">Số lượng</t>
  </si>
  <si>
    <t xml:space="preserve">Đơn giá
(triệu đồng)
</t>
  </si>
  <si>
    <t xml:space="preserve">Thành tiền
(triệu đồng)</t>
  </si>
  <si>
    <t xml:space="preserve">Nguyên, vật liệu</t>
  </si>
  <si>
    <t xml:space="preserve">Dụng cụ, phụ tùng, vật rẻ tiền mau hỏng</t>
  </si>
  <si>
    <t xml:space="preserve">III</t>
  </si>
  <si>
    <t xml:space="preserve">Năng lượng, nhiên liệu</t>
  </si>
  <si>
    <t xml:space="preserve">- Than</t>
  </si>
  <si>
    <t xml:space="preserve">- Điện</t>
  </si>
  <si>
    <t xml:space="preserve">kW/h</t>
  </si>
  <si>
    <t xml:space="preserve">- Xăng, dầu</t>
  </si>
  <si>
    <t xml:space="preserve">- Nhiên liệu khác</t>
  </si>
  <si>
    <t xml:space="preserve">IV</t>
  </si>
  <si>
    <t xml:space="preserve">Nước</t>
  </si>
  <si>
    <r>
      <rPr>
        <sz val="12"/>
        <color theme="1"/>
        <rFont val="Times New Roman"/>
        <family val="1"/>
        <charset val="1"/>
      </rPr>
      <t xml:space="preserve">m</t>
    </r>
    <r>
      <rPr>
        <vertAlign val="superscript"/>
        <sz val="12"/>
        <color theme="1"/>
        <rFont val="Times New Roman"/>
        <family val="1"/>
        <charset val="1"/>
      </rPr>
      <t xml:space="preserve">3</t>
    </r>
  </si>
  <si>
    <r>
      <rPr>
        <b val="true"/>
        <sz val="11"/>
        <color theme="1"/>
        <rFont val="Times New Roman"/>
        <family val="1"/>
        <charset val="1"/>
      </rPr>
      <t xml:space="preserve">Nguyên, vật liệu </t>
    </r>
    <r>
      <rPr>
        <b val="true"/>
        <i val="true"/>
        <sz val="11"/>
        <color theme="1"/>
        <rFont val="Times New Roman"/>
        <family val="1"/>
        <charset val="1"/>
      </rPr>
      <t xml:space="preserve">(Dự toán chi tiết theo thứ tự nội dung nghiên cứu nêu tại mục 17 của thuyết minh)</t>
    </r>
  </si>
  <si>
    <t xml:space="preserve">Nội dung 1: Tổng hợp các tài liệu nghiên cứu về ung thư đại trực tràng, liên quan tới đề tài nghiên cứu; Khảo sát thực tế tính khả thi và tiến hành thu thập đầy đủ thông tin hành chính, lâm sàng, cận lâm sàng</t>
  </si>
  <si>
    <t xml:space="preserve">Dao cắt mô</t>
  </si>
  <si>
    <t xml:space="preserve">Ống nghiệm chống đông máu EDTA</t>
  </si>
  <si>
    <t xml:space="preserve">XN: sinh hóa máu ( ure, glucose, creatinin, acid uric, SGOT, SGPT, Albumin, Protein, CEA) cho 300 mẫu</t>
  </si>
  <si>
    <t xml:space="preserve">XN Huyết đồ 300 mẫu</t>
  </si>
  <si>
    <t xml:space="preserve">XN nước tiểu (11 thông số)</t>
  </si>
  <si>
    <t xml:space="preserve">XQ phổi tim phổi thẳng </t>
  </si>
  <si>
    <t xml:space="preserve">Nội dung 2+3: Xây dựng mẫu chuẩn và xác định tỷ lệ methyl hóa ở mẫu mô ung thư/liền kề; mẫu máu ở bệnh nhân ung thư vú</t>
  </si>
  <si>
    <t xml:space="preserve">Sử dụng kỹ thuật qPCR để xác định tỷ lệ methyl hóa BRCA1/ RASSF1A</t>
  </si>
  <si>
    <t xml:space="preserve">Monarch® Genomic DNA Purification Kit (50 phản ứng/hộp)</t>
  </si>
  <si>
    <t xml:space="preserve">100 bp DNA Ladder (0.1mL/ống)</t>
  </si>
  <si>
    <t xml:space="preserve">50 bp DNA Ladder (0.1mL/ống)</t>
  </si>
  <si>
    <t xml:space="preserve">1kb DNA Ladder (0.1mL/ống)</t>
  </si>
  <si>
    <t xml:space="preserve">Monarch® PCR &amp; DNA Cleanup Kit (50 phản ứng/hộp)</t>
  </si>
  <si>
    <t xml:space="preserve">Monarch® Plasmid Miniprep Kit (50 phản ứng/hộp)</t>
  </si>
  <si>
    <t xml:space="preserve">NEBuilder® HiFi DNA Assembly Cloning Kit (10 phản ứng/hộp)</t>
  </si>
  <si>
    <t xml:space="preserve">Luna® Universal qPCR Master Mix (200 phản ứng/hộp)</t>
  </si>
  <si>
    <t xml:space="preserve">GoTaq G2 Hot Start Green Mastermix (2000 phản ứng/25mL)</t>
  </si>
  <si>
    <t xml:space="preserve">MagMax Cell Free DNA Isolation Kit</t>
  </si>
  <si>
    <t xml:space="preserve">Human Methylated &amp; Non-methylated DNA Set</t>
  </si>
  <si>
    <t xml:space="preserve">EZ DNA Methylation Gold Kit </t>
  </si>
  <si>
    <t xml:space="preserve">Mồi đặc hiệu methyl hóa cho BRCA1, RASSF1A, ACTB</t>
  </si>
  <si>
    <t xml:space="preserve">Sanger sequencing kit</t>
  </si>
  <si>
    <t xml:space="preserve">Ethanol (96%)</t>
  </si>
  <si>
    <t xml:space="preserve">Xylene</t>
  </si>
  <si>
    <t xml:space="preserve">Proteinase K</t>
  </si>
  <si>
    <t xml:space="preserve">Agarose MP</t>
  </si>
  <si>
    <t xml:space="preserve">Tris Base</t>
  </si>
  <si>
    <t xml:space="preserve">Acid Boric  </t>
  </si>
  <si>
    <t xml:space="preserve">Temed</t>
  </si>
  <si>
    <t xml:space="preserve">Phenol</t>
  </si>
  <si>
    <t xml:space="preserve">Chloroform</t>
  </si>
  <si>
    <t xml:space="preserve">TBE buffer (Tris-Borate-EDTA), 5x Solution</t>
  </si>
  <si>
    <t xml:space="preserve">Acryl/Bis solution(37.5: 1), 40% (w/v)</t>
  </si>
  <si>
    <t xml:space="preserve">Amonium Persulphate (APS)</t>
  </si>
  <si>
    <t xml:space="preserve">Bromophenol Blue</t>
  </si>
  <si>
    <t xml:space="preserve">Hộp giữ DNA, RNA ở lạnh sâu</t>
  </si>
  <si>
    <t xml:space="preserve">DyeAll Staining Solution</t>
  </si>
  <si>
    <t xml:space="preserve">abWare™ qPCR Strips &amp; Flat 8- cap Strips </t>
  </si>
  <si>
    <t xml:space="preserve">Đầu típ trắng (10 µl)</t>
  </si>
  <si>
    <t xml:space="preserve">Đầu tip vàng (200 µl)</t>
  </si>
  <si>
    <t xml:space="preserve">Đầu tip xanh (1000 µl)</t>
  </si>
  <si>
    <t xml:space="preserve">Ống falcon 50 ml</t>
  </si>
  <si>
    <t xml:space="preserve">Eppendoft 1.7mL (1000 chiếc/hộp)</t>
  </si>
  <si>
    <t xml:space="preserve">Epp PCR thường (1000 chiếc/hộp)</t>
  </si>
  <si>
    <t xml:space="preserve">Chai Duran 1000 ml</t>
  </si>
  <si>
    <t xml:space="preserve">Chai Duran 500 ml</t>
  </si>
  <si>
    <t xml:space="preserve">Giấy parafilm</t>
  </si>
  <si>
    <t xml:space="preserve">Bản kính điện di</t>
  </si>
  <si>
    <t xml:space="preserve">Lược bản gel acrylamide</t>
  </si>
  <si>
    <t xml:space="preserve">Cái</t>
  </si>
  <si>
    <t xml:space="preserve">Hộp</t>
  </si>
  <si>
    <t xml:space="preserve">Mẫu</t>
  </si>
  <si>
    <t xml:space="preserve">bộ</t>
  </si>
  <si>
    <t xml:space="preserve">ml</t>
  </si>
  <si>
    <t xml:space="preserve">nucleotid</t>
  </si>
  <si>
    <t xml:space="preserve">500ml</t>
  </si>
  <si>
    <t xml:space="preserve">100g</t>
  </si>
  <si>
    <t xml:space="preserve">1kg</t>
  </si>
  <si>
    <t xml:space="preserve">500g</t>
  </si>
  <si>
    <t xml:space="preserve">lít</t>
  </si>
  <si>
    <t xml:space="preserve">gam</t>
  </si>
  <si>
    <t xml:space="preserve">hộp</t>
  </si>
  <si>
    <t xml:space="preserve">túi</t>
  </si>
  <si>
    <t xml:space="preserve">chai</t>
  </si>
  <si>
    <t xml:space="preserve">cuộn</t>
  </si>
  <si>
    <t xml:space="preserve">Ngân sách  SNKH</t>
  </si>
  <si>
    <t xml:space="preserve">Năm 2027</t>
  </si>
  <si>
    <t xml:space="preserve">Năm 2028</t>
  </si>
  <si>
    <t xml:space="preserve">Khoản 4. THIẾT BỊ, MÁY MÓC</t>
  </si>
  <si>
    <t xml:space="preserve">Đơn giá</t>
  </si>
  <si>
    <t xml:space="preserve">Thành tiền</t>
  </si>
  <si>
    <t xml:space="preserve">Tổng</t>
  </si>
  <si>
    <t xml:space="preserve">Năm thứ nhất*</t>
  </si>
  <si>
    <t xml:space="preserve">Năm thứ hai*</t>
  </si>
  <si>
    <t xml:space="preserve">Thiết bị hiện có của đơn vị chủ trì thực hiện đề tài </t>
  </si>
  <si>
    <t xml:space="preserve">Thiết bị, máy móc điều chuyển từ đơn vị khác đến</t>
  </si>
  <si>
    <t xml:space="preserve">III </t>
  </si>
  <si>
    <t xml:space="preserve">Khấu hao thiết bị </t>
  </si>
  <si>
    <t xml:space="preserve">Thuê thiết bị (ghi tên thiết bị, thời gian thuê)</t>
  </si>
  <si>
    <t xml:space="preserve">V</t>
  </si>
  <si>
    <t xml:space="preserve">Thiết bị, công nghệ mua mới</t>
  </si>
  <si>
    <t xml:space="preserve">VI</t>
  </si>
  <si>
    <t xml:space="preserve">Vận chuyển lắp đặt</t>
  </si>
  <si>
    <t xml:space="preserve">VII</t>
  </si>
  <si>
    <t xml:space="preserve">Bảo dưỡng, sửa chữa</t>
  </si>
  <si>
    <t xml:space="preserve">Cộng: </t>
  </si>
  <si>
    <t xml:space="preserve">Khoản 5. XÂY DỰNG, SỬA CHỮA NHỎ</t>
  </si>
  <si>
    <t xml:space="preserve">Kinh phí</t>
  </si>
  <si>
    <r>
      <rPr>
        <sz val="12"/>
        <color theme="1"/>
        <rFont val="Times New Roman"/>
        <family val="1"/>
        <charset val="1"/>
      </rPr>
      <t xml:space="preserve">Chi phí xây dựng ...... m</t>
    </r>
    <r>
      <rPr>
        <vertAlign val="superscript"/>
        <sz val="12"/>
        <color theme="1"/>
        <rFont val="Times New Roman"/>
        <family val="1"/>
        <charset val="1"/>
      </rPr>
      <t xml:space="preserve">2</t>
    </r>
    <r>
      <rPr>
        <sz val="12"/>
        <color theme="1"/>
        <rFont val="Times New Roman"/>
        <family val="1"/>
        <charset val="1"/>
      </rPr>
      <t xml:space="preserve"> nhà xưởng, PTN</t>
    </r>
  </si>
  <si>
    <r>
      <rPr>
        <sz val="12"/>
        <color theme="1"/>
        <rFont val="Times New Roman"/>
        <family val="1"/>
        <charset val="1"/>
      </rPr>
      <t xml:space="preserve">Chi phí sửa chữa ....... m</t>
    </r>
    <r>
      <rPr>
        <vertAlign val="superscript"/>
        <sz val="12"/>
        <color theme="1"/>
        <rFont val="Times New Roman"/>
        <family val="1"/>
        <charset val="1"/>
      </rPr>
      <t xml:space="preserve">2</t>
    </r>
    <r>
      <rPr>
        <sz val="12"/>
        <color theme="1"/>
        <rFont val="Times New Roman"/>
        <family val="1"/>
        <charset val="1"/>
      </rPr>
      <t xml:space="preserve"> nhà xưởng, PTN</t>
    </r>
  </si>
  <si>
    <t xml:space="preserve">Chi phí lắp đặt hệ thống điện, nước</t>
  </si>
  <si>
    <t xml:space="preserve">Chi phí khác</t>
  </si>
  <si>
    <t xml:space="preserve">Khoản 6. CHI KHÁC</t>
  </si>
  <si>
    <t xml:space="preserve">Nội dung </t>
  </si>
  <si>
    <r>
      <rPr>
        <b val="true"/>
        <sz val="13"/>
        <color theme="1"/>
        <rFont val="Times New Roman"/>
        <family val="1"/>
        <charset val="1"/>
      </rPr>
      <t xml:space="preserve">Tỷ lệ </t>
    </r>
    <r>
      <rPr>
        <sz val="13"/>
        <color theme="1"/>
        <rFont val="Times New Roman"/>
        <family val="1"/>
        <charset val="1"/>
      </rPr>
      <t xml:space="preserve">(%)</t>
    </r>
  </si>
  <si>
    <t xml:space="preserve">Chi điều tra, khảo sát thu thập số liệu, công tác trong nước</t>
  </si>
  <si>
    <t xml:space="preserve">Hợp tác quốc tế (định mức chi theo quy định hiện hành)</t>
  </si>
  <si>
    <r>
      <rPr>
        <b val="true"/>
        <sz val="13"/>
        <color theme="1"/>
        <rFont val="Times New Roman"/>
        <family val="1"/>
        <charset val="1"/>
      </rPr>
      <t xml:space="preserve">Kinh phí quản lý  </t>
    </r>
    <r>
      <rPr>
        <sz val="13"/>
        <color theme="1"/>
        <rFont val="Times New Roman"/>
        <family val="1"/>
        <charset val="1"/>
      </rPr>
      <t xml:space="preserve">(bằng 5% tổng kinh phí thực hiện đề tài, tối đa không quá 300 triệu đồng)</t>
    </r>
  </si>
  <si>
    <t xml:space="preserve">Chi phí đánh giá, kiểm tra nội bộ</t>
  </si>
  <si>
    <t xml:space="preserve">Chi trả dịch vụ thuê ngoài phục vụ hoạt động nghiên cứu</t>
  </si>
  <si>
    <t xml:space="preserve">6.1</t>
  </si>
  <si>
    <t xml:space="preserve">Hội thảo (trong nước)
(Theo thông tư 40/2017/TT-BTC)</t>
  </si>
  <si>
    <t xml:space="preserve">6.2</t>
  </si>
  <si>
    <t xml:space="preserve">Ấn loát tài liệu, văn phòng phẩm</t>
  </si>
</sst>
</file>

<file path=xl/styles.xml><?xml version="1.0" encoding="utf-8"?>
<styleSheet xmlns="http://schemas.openxmlformats.org/spreadsheetml/2006/main">
  <numFmts count="10">
    <numFmt numFmtId="164" formatCode="General"/>
    <numFmt numFmtId="165" formatCode="#,##0.00"/>
    <numFmt numFmtId="166" formatCode="0.00"/>
    <numFmt numFmtId="167" formatCode="#,##0.0;[RED]#,##0.0"/>
    <numFmt numFmtId="168" formatCode="#,##0.00\ _₫;[RED]#,##0.00\ _₫"/>
    <numFmt numFmtId="169" formatCode="0"/>
    <numFmt numFmtId="170" formatCode="#,##0.00;[RED]#,##0.00"/>
    <numFmt numFmtId="171" formatCode="#,##0"/>
    <numFmt numFmtId="172" formatCode="0.0"/>
    <numFmt numFmtId="173" formatCode="0.0000"/>
  </numFmts>
  <fonts count="53">
    <font>
      <sz val="11"/>
      <color theme="1"/>
      <name val="Arial"/>
      <family val="2"/>
      <charset val="1"/>
    </font>
    <font>
      <sz val="10"/>
      <name val="Arial"/>
      <family val="0"/>
    </font>
    <font>
      <sz val="10"/>
      <name val="Arial"/>
      <family val="0"/>
    </font>
    <font>
      <sz val="10"/>
      <name val="Arial"/>
      <family val="0"/>
    </font>
    <font>
      <b val="true"/>
      <sz val="14"/>
      <color theme="1"/>
      <name val="Times New Roman"/>
      <family val="1"/>
      <charset val="1"/>
    </font>
    <font>
      <b val="true"/>
      <sz val="12"/>
      <color theme="1"/>
      <name val="Times New Roman"/>
      <family val="1"/>
      <charset val="1"/>
    </font>
    <font>
      <sz val="12"/>
      <color theme="1"/>
      <name val="Times New Roman"/>
      <family val="1"/>
      <charset val="1"/>
    </font>
    <font>
      <sz val="12"/>
      <name val="Times New Roman"/>
      <family val="1"/>
      <charset val="1"/>
    </font>
    <font>
      <sz val="12"/>
      <color rgb="FFFF0000"/>
      <name val="Times New Roman"/>
      <family val="1"/>
      <charset val="1"/>
    </font>
    <font>
      <b val="true"/>
      <sz val="12"/>
      <name val="Times New Roman"/>
      <family val="1"/>
      <charset val="1"/>
    </font>
    <font>
      <sz val="12"/>
      <color rgb="FF000000"/>
      <name val="Times New Roman"/>
      <family val="1"/>
      <charset val="1"/>
    </font>
    <font>
      <b val="true"/>
      <sz val="11"/>
      <color theme="1"/>
      <name val="Times New Roman"/>
      <family val="1"/>
      <charset val="1"/>
    </font>
    <font>
      <sz val="11"/>
      <color theme="1"/>
      <name val="Times New Roman"/>
      <family val="1"/>
      <charset val="1"/>
    </font>
    <font>
      <i val="true"/>
      <sz val="12"/>
      <name val="Times New Roman"/>
      <family val="1"/>
      <charset val="1"/>
    </font>
    <font>
      <i val="true"/>
      <sz val="12"/>
      <color theme="1"/>
      <name val="Times New Roman"/>
      <family val="1"/>
      <charset val="1"/>
    </font>
    <font>
      <sz val="10"/>
      <color theme="1"/>
      <name val="Times New Roman"/>
      <family val="1"/>
      <charset val="1"/>
    </font>
    <font>
      <b val="true"/>
      <sz val="12"/>
      <color rgb="FFFF0000"/>
      <name val="Times New Roman"/>
      <family val="1"/>
      <charset val="1"/>
    </font>
    <font>
      <b val="true"/>
      <sz val="13"/>
      <color theme="1"/>
      <name val="Times New Roman"/>
      <family val="1"/>
      <charset val="1"/>
    </font>
    <font>
      <sz val="13"/>
      <color theme="1"/>
      <name val="Times New Roman"/>
      <family val="1"/>
      <charset val="1"/>
    </font>
    <font>
      <sz val="13"/>
      <color rgb="FFFF0000"/>
      <name val="Times New Roman"/>
      <family val="1"/>
      <charset val="1"/>
    </font>
    <font>
      <sz val="13"/>
      <color rgb="FF000000"/>
      <name val="Times New Roman"/>
      <family val="1"/>
      <charset val="1"/>
    </font>
    <font>
      <i val="true"/>
      <sz val="13"/>
      <color theme="1"/>
      <name val="Times New Roman"/>
      <family val="1"/>
      <charset val="1"/>
    </font>
    <font>
      <b val="true"/>
      <sz val="13"/>
      <color rgb="FF000000"/>
      <name val="Times New Roman"/>
      <family val="1"/>
      <charset val="1"/>
    </font>
    <font>
      <b val="true"/>
      <i val="true"/>
      <sz val="13"/>
      <color rgb="FF000000"/>
      <name val="Times New Roman"/>
      <family val="1"/>
      <charset val="1"/>
    </font>
    <font>
      <sz val="11"/>
      <name val="Arial"/>
      <family val="2"/>
      <charset val="1"/>
    </font>
    <font>
      <i val="true"/>
      <sz val="11"/>
      <color theme="1"/>
      <name val="Arial"/>
      <family val="2"/>
      <charset val="1"/>
    </font>
    <font>
      <b val="true"/>
      <sz val="9"/>
      <name val="Times New Roman"/>
      <family val="1"/>
      <charset val="1"/>
    </font>
    <font>
      <b val="true"/>
      <i val="true"/>
      <sz val="12"/>
      <name val="Times New Roman"/>
      <family val="1"/>
      <charset val="1"/>
    </font>
    <font>
      <b val="true"/>
      <sz val="10"/>
      <color rgb="FF000000"/>
      <name val="Times New Roman"/>
      <family val="1"/>
      <charset val="1"/>
    </font>
    <font>
      <sz val="10"/>
      <color rgb="FF000000"/>
      <name val="Times New Roman"/>
      <family val="1"/>
      <charset val="1"/>
    </font>
    <font>
      <b val="true"/>
      <sz val="12"/>
      <color rgb="FF000000"/>
      <name val="Times New Roman"/>
      <family val="1"/>
      <charset val="1"/>
    </font>
    <font>
      <b val="true"/>
      <sz val="10"/>
      <color theme="1"/>
      <name val="Times New Roman"/>
      <family val="1"/>
      <charset val="1"/>
    </font>
    <font>
      <sz val="13"/>
      <name val="Times New Roman"/>
      <family val="1"/>
      <charset val="1"/>
    </font>
    <font>
      <i val="true"/>
      <sz val="11"/>
      <color theme="1"/>
      <name val="Times New Roman"/>
      <family val="1"/>
      <charset val="1"/>
    </font>
    <font>
      <b val="true"/>
      <i val="true"/>
      <sz val="12"/>
      <color theme="1"/>
      <name val="Times New Roman"/>
      <family val="1"/>
      <charset val="1"/>
    </font>
    <font>
      <b val="true"/>
      <i val="true"/>
      <sz val="11"/>
      <color theme="1"/>
      <name val="Times New Roman"/>
      <family val="1"/>
      <charset val="1"/>
    </font>
    <font>
      <vertAlign val="superscript"/>
      <sz val="12"/>
      <color theme="1"/>
      <name val="Times New Roman"/>
      <family val="1"/>
      <charset val="1"/>
    </font>
    <font>
      <b val="true"/>
      <i val="true"/>
      <sz val="10"/>
      <color rgb="FF000000"/>
      <name val="Times New Roman"/>
      <family val="1"/>
      <charset val="1"/>
    </font>
    <font>
      <sz val="11"/>
      <color rgb="FF000000"/>
      <name val="Times New Roman"/>
      <family val="1"/>
      <charset val="1"/>
    </font>
    <font>
      <i val="true"/>
      <sz val="10"/>
      <color theme="1"/>
      <name val="Times New Roman"/>
      <family val="1"/>
      <charset val="1"/>
    </font>
    <font>
      <u val="single"/>
      <sz val="11"/>
      <color theme="10"/>
      <name val="Arial"/>
      <family val="2"/>
      <charset val="1"/>
    </font>
    <font>
      <u val="single"/>
      <sz val="11"/>
      <color theme="1"/>
      <name val="Arial"/>
      <family val="2"/>
      <charset val="1"/>
    </font>
    <font>
      <sz val="1"/>
      <color theme="1"/>
      <name val="Arial"/>
      <family val="2"/>
      <charset val="1"/>
    </font>
    <font>
      <b val="true"/>
      <i val="true"/>
      <sz val="13"/>
      <color theme="1"/>
      <name val="Times New Roman"/>
      <family val="1"/>
      <charset val="1"/>
    </font>
    <font>
      <sz val="12"/>
      <color rgb="FFFF0000"/>
      <name val="Arial"/>
      <family val="2"/>
      <charset val="1"/>
    </font>
    <font>
      <b val="true"/>
      <sz val="13"/>
      <name val="Times New Roman"/>
      <family val="1"/>
      <charset val="1"/>
    </font>
    <font>
      <sz val="13"/>
      <color theme="1"/>
      <name val="Arial"/>
      <family val="2"/>
      <charset val="1"/>
    </font>
    <font>
      <b val="true"/>
      <i val="true"/>
      <sz val="13"/>
      <name val="Times New Roman"/>
      <family val="1"/>
      <charset val="1"/>
    </font>
    <font>
      <sz val="13"/>
      <name val="Times New Roman"/>
      <family val="1"/>
      <charset val="163"/>
    </font>
    <font>
      <i val="true"/>
      <sz val="13"/>
      <color rgb="FF000000"/>
      <name val="Times New Roman"/>
      <family val="1"/>
      <charset val="163"/>
    </font>
    <font>
      <sz val="13"/>
      <color theme="1"/>
      <name val="Arial"/>
      <family val="2"/>
      <charset val="163"/>
    </font>
    <font>
      <b val="true"/>
      <sz val="13"/>
      <color rgb="FFFF0000"/>
      <name val="Times New Roman"/>
      <family val="1"/>
      <charset val="1"/>
    </font>
    <font>
      <sz val="12"/>
      <name val="Times New Roman"/>
      <family val="1"/>
      <charset val="163"/>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13">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medium"/>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0" fillId="0" borderId="0" applyFont="true" applyBorder="false" applyAlignment="true" applyProtection="false">
      <alignment horizontal="general" vertical="bottom" textRotation="0" wrapText="false" indent="0" shrinkToFit="false"/>
    </xf>
  </cellStyleXfs>
  <cellXfs count="1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5" fillId="0" borderId="2" xfId="0" applyFont="true" applyBorder="true" applyAlignment="true" applyProtection="true">
      <alignment horizontal="center" vertical="center" textRotation="0" wrapText="false" indent="0" shrinkToFit="false"/>
      <protection locked="true" hidden="false"/>
    </xf>
    <xf numFmtId="164" fontId="5" fillId="0" borderId="2"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false" indent="0" shrinkToFit="false"/>
      <protection locked="true" hidden="false"/>
    </xf>
    <xf numFmtId="164" fontId="6" fillId="0" borderId="2" xfId="0" applyFont="true" applyBorder="true" applyAlignment="true" applyProtection="true">
      <alignment horizontal="left" vertical="center" textRotation="0" wrapText="true" indent="0" shrinkToFit="false"/>
      <protection locked="true" hidden="false"/>
    </xf>
    <xf numFmtId="164" fontId="7" fillId="0" borderId="3" xfId="0" applyFont="true" applyBorder="true" applyAlignment="true" applyProtection="true">
      <alignment horizontal="left" vertical="center" textRotation="0" wrapText="true" indent="0" shrinkToFit="false"/>
      <protection locked="true" hidden="false"/>
    </xf>
    <xf numFmtId="164" fontId="8" fillId="0" borderId="4" xfId="0" applyFont="true" applyBorder="true" applyAlignment="true" applyProtection="true">
      <alignment horizontal="left" vertical="center" textRotation="0" wrapText="true" indent="0" shrinkToFit="false"/>
      <protection locked="true" hidden="false"/>
    </xf>
    <xf numFmtId="164" fontId="7" fillId="0" borderId="4" xfId="0" applyFont="true" applyBorder="true" applyAlignment="true" applyProtection="true">
      <alignment horizontal="left" vertical="center" textRotation="0" wrapText="true" indent="0" shrinkToFit="false"/>
      <protection locked="true" hidden="false"/>
    </xf>
    <xf numFmtId="164" fontId="9" fillId="0" borderId="4" xfId="0" applyFont="true" applyBorder="true" applyAlignment="true" applyProtection="true">
      <alignment horizontal="left" vertical="center" textRotation="0" wrapText="true" indent="0" shrinkToFit="false"/>
      <protection locked="true" hidden="false"/>
    </xf>
    <xf numFmtId="164" fontId="10" fillId="0" borderId="4" xfId="0" applyFont="true" applyBorder="true" applyAlignment="true" applyProtection="true">
      <alignment horizontal="left" vertical="center" textRotation="0" wrapText="true" indent="0" shrinkToFit="false"/>
      <protection locked="true" hidden="false"/>
    </xf>
    <xf numFmtId="164" fontId="6" fillId="0" borderId="4" xfId="0" applyFont="true" applyBorder="true" applyAlignment="true" applyProtection="true">
      <alignment horizontal="left" vertical="center" textRotation="0" wrapText="true" indent="0" shrinkToFit="false"/>
      <protection locked="true" hidden="false"/>
    </xf>
    <xf numFmtId="164" fontId="10" fillId="0" borderId="5" xfId="0" applyFont="true" applyBorder="true" applyAlignment="true" applyProtection="true">
      <alignment horizontal="left" vertical="center" textRotation="0" wrapText="true" indent="0" shrinkToFit="false"/>
      <protection locked="true" hidden="false"/>
    </xf>
    <xf numFmtId="164" fontId="6" fillId="0" borderId="2" xfId="0" applyFont="true" applyBorder="true" applyAlignment="true" applyProtection="true">
      <alignment horizontal="center"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11" fillId="0" borderId="0" xfId="0"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general" vertical="center" textRotation="0" wrapText="false" indent="0" shrinkToFit="false"/>
      <protection locked="true" hidden="false"/>
    </xf>
    <xf numFmtId="164" fontId="5" fillId="2" borderId="2"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true" indent="0" shrinkToFit="false"/>
      <protection locked="true" hidden="false"/>
    </xf>
    <xf numFmtId="164" fontId="8" fillId="0" borderId="2" xfId="0" applyFont="true" applyBorder="true" applyAlignment="true" applyProtection="true">
      <alignment horizontal="center" vertical="center" textRotation="0" wrapText="true" indent="0" shrinkToFit="false"/>
      <protection locked="true" hidden="false"/>
    </xf>
    <xf numFmtId="164" fontId="5" fillId="0" borderId="2" xfId="0" applyFont="true" applyBorder="true" applyAlignment="true" applyProtection="true">
      <alignment horizontal="justify" vertical="center" textRotation="0" wrapText="true" indent="0" shrinkToFit="false"/>
      <protection locked="true" hidden="false"/>
    </xf>
    <xf numFmtId="165" fontId="8" fillId="0" borderId="2" xfId="0" applyFont="true" applyBorder="true" applyAlignment="true" applyProtection="true">
      <alignment horizontal="right" vertical="center" textRotation="0" wrapText="true" indent="0" shrinkToFit="false"/>
      <protection locked="true" hidden="false"/>
    </xf>
    <xf numFmtId="165" fontId="6" fillId="0" borderId="2" xfId="0" applyFont="true" applyBorder="true" applyAlignment="true" applyProtection="true">
      <alignment horizontal="right" vertical="center"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general" vertical="center" textRotation="0" wrapText="true" indent="0" shrinkToFit="false"/>
      <protection locked="true" hidden="false"/>
    </xf>
    <xf numFmtId="164" fontId="15" fillId="0" borderId="2" xfId="0" applyFont="true" applyBorder="true" applyAlignment="true" applyProtection="true">
      <alignment horizontal="center" vertical="center" textRotation="0" wrapText="true" indent="0" shrinkToFit="false"/>
      <protection locked="true" hidden="false"/>
    </xf>
    <xf numFmtId="165" fontId="16" fillId="0" borderId="2" xfId="0" applyFont="true" applyBorder="true" applyAlignment="true" applyProtection="true">
      <alignment horizontal="center" vertical="center" textRotation="0" wrapText="tru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center" textRotation="0" wrapText="true" indent="0" shrinkToFit="false"/>
      <protection locked="true" hidden="false"/>
    </xf>
    <xf numFmtId="164" fontId="17" fillId="2" borderId="2" xfId="0" applyFont="true" applyBorder="true" applyAlignment="true" applyProtection="true">
      <alignment horizontal="center" vertical="center" textRotation="0" wrapText="true" indent="0" shrinkToFit="false"/>
      <protection locked="true" hidden="false"/>
    </xf>
    <xf numFmtId="166" fontId="17" fillId="2" borderId="2" xfId="0" applyFont="true" applyBorder="true" applyAlignment="true" applyProtection="true">
      <alignment horizontal="center" vertical="center" textRotation="0" wrapText="true" indent="0" shrinkToFit="false"/>
      <protection locked="true" hidden="false"/>
    </xf>
    <xf numFmtId="164" fontId="18" fillId="0" borderId="2" xfId="0" applyFont="true" applyBorder="true" applyAlignment="true" applyProtection="true">
      <alignment horizontal="center" vertical="center" textRotation="0" wrapText="true" indent="0" shrinkToFit="false"/>
      <protection locked="true" hidden="false"/>
    </xf>
    <xf numFmtId="164" fontId="18" fillId="0" borderId="2" xfId="0" applyFont="true" applyBorder="true" applyAlignment="true" applyProtection="true">
      <alignment horizontal="general" vertical="center" textRotation="0" wrapText="true" indent="0" shrinkToFit="false"/>
      <protection locked="true" hidden="false"/>
    </xf>
    <xf numFmtId="164" fontId="19" fillId="2" borderId="2" xfId="0" applyFont="true" applyBorder="true" applyAlignment="true" applyProtection="true">
      <alignment horizontal="center" vertical="center" textRotation="0" wrapText="true" indent="0" shrinkToFit="false"/>
      <protection locked="true" hidden="false"/>
    </xf>
    <xf numFmtId="167" fontId="20" fillId="0" borderId="2" xfId="0" applyFont="true" applyBorder="true" applyAlignment="true" applyProtection="true">
      <alignment horizontal="center" vertical="center" textRotation="0" wrapText="true" indent="0" shrinkToFit="false"/>
      <protection locked="true" hidden="false"/>
    </xf>
    <xf numFmtId="168" fontId="20" fillId="0" borderId="2" xfId="0" applyFont="true" applyBorder="true" applyAlignment="true" applyProtection="true">
      <alignment horizontal="center" vertical="center" textRotation="0" wrapText="true" indent="0" shrinkToFit="false"/>
      <protection locked="true" hidden="false"/>
    </xf>
    <xf numFmtId="166" fontId="21" fillId="0" borderId="2" xfId="0" applyFont="true" applyBorder="true" applyAlignment="true" applyProtection="true">
      <alignment horizontal="center" vertical="center" textRotation="0" wrapText="true" indent="0" shrinkToFit="false"/>
      <protection locked="true" hidden="false"/>
    </xf>
    <xf numFmtId="164" fontId="19" fillId="0" borderId="2" xfId="0" applyFont="true" applyBorder="true" applyAlignment="true" applyProtection="true">
      <alignment horizontal="center" vertical="center" textRotation="0" wrapText="true" indent="0" shrinkToFit="false"/>
      <protection locked="true" hidden="false"/>
    </xf>
    <xf numFmtId="167" fontId="22" fillId="0" borderId="2" xfId="0" applyFont="true" applyBorder="true" applyAlignment="true" applyProtection="true">
      <alignment horizontal="center" vertical="center" textRotation="0" wrapText="true" indent="0" shrinkToFit="false"/>
      <protection locked="true" hidden="false"/>
    </xf>
    <xf numFmtId="166" fontId="23" fillId="3" borderId="2" xfId="0" applyFont="true" applyBorder="true" applyAlignment="true" applyProtection="true">
      <alignment horizontal="center" vertical="center" textRotation="0" wrapText="tru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6" fontId="25"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6" fontId="13" fillId="0" borderId="1" xfId="0" applyFont="true" applyBorder="true" applyAlignment="true" applyProtection="true">
      <alignment horizontal="general" vertical="center" textRotation="0" wrapText="false" indent="0" shrinkToFit="false"/>
      <protection locked="true" hidden="false"/>
    </xf>
    <xf numFmtId="164" fontId="9" fillId="0" borderId="2" xfId="0" applyFont="true" applyBorder="true" applyAlignment="true" applyProtection="true">
      <alignment horizontal="center" vertical="center" textRotation="0" wrapText="false" indent="0" shrinkToFit="false"/>
      <protection locked="true" hidden="false"/>
    </xf>
    <xf numFmtId="164" fontId="9" fillId="0" borderId="2" xfId="0" applyFont="true" applyBorder="true" applyAlignment="true" applyProtection="true">
      <alignment horizontal="center" vertical="center" textRotation="0" wrapText="true" indent="0" shrinkToFit="false"/>
      <protection locked="true" hidden="false"/>
    </xf>
    <xf numFmtId="164" fontId="9" fillId="0" borderId="6" xfId="0" applyFont="true" applyBorder="true" applyAlignment="true" applyProtection="true">
      <alignment horizontal="center" vertical="center" textRotation="0" wrapText="true" indent="0" shrinkToFit="false"/>
      <protection locked="true" hidden="false"/>
    </xf>
    <xf numFmtId="164" fontId="9" fillId="0" borderId="7" xfId="0" applyFont="true" applyBorder="true" applyAlignment="true" applyProtection="true">
      <alignment horizontal="center" vertical="center" textRotation="0" wrapText="true" indent="0" shrinkToFit="false"/>
      <protection locked="true" hidden="false"/>
    </xf>
    <xf numFmtId="166" fontId="9" fillId="0" borderId="2" xfId="0" applyFont="true" applyBorder="true" applyAlignment="true" applyProtection="true">
      <alignment horizontal="center" vertical="center" textRotation="0" wrapText="true" indent="0" shrinkToFit="false"/>
      <protection locked="true" hidden="false"/>
    </xf>
    <xf numFmtId="164" fontId="9" fillId="2" borderId="2" xfId="0" applyFont="true" applyBorder="true" applyAlignment="true" applyProtection="true">
      <alignment horizontal="center" vertical="center" textRotation="0" wrapText="false" indent="0" shrinkToFit="false"/>
      <protection locked="true" hidden="false"/>
    </xf>
    <xf numFmtId="166" fontId="8" fillId="0" borderId="2" xfId="0" applyFont="true" applyBorder="true" applyAlignment="true" applyProtection="true">
      <alignment horizontal="center" vertical="center" textRotation="0" wrapText="true" indent="0" shrinkToFit="false"/>
      <protection locked="true" hidden="false"/>
    </xf>
    <xf numFmtId="166" fontId="7" fillId="0" borderId="2" xfId="0" applyFont="true" applyBorder="true" applyAlignment="true" applyProtection="true">
      <alignment horizontal="center" vertical="center" textRotation="0" wrapText="true" indent="0" shrinkToFit="false"/>
      <protection locked="true" hidden="false"/>
    </xf>
    <xf numFmtId="164" fontId="13" fillId="0" borderId="2" xfId="0" applyFont="true" applyBorder="true" applyAlignment="true" applyProtection="true">
      <alignment horizontal="center" vertical="center" textRotation="0" wrapText="true" indent="0" shrinkToFit="false"/>
      <protection locked="true" hidden="false"/>
    </xf>
    <xf numFmtId="166" fontId="13" fillId="0" borderId="2" xfId="0" applyFont="true" applyBorder="true" applyAlignment="true" applyProtection="true">
      <alignment horizontal="center" vertical="center" textRotation="0" wrapText="true" indent="0" shrinkToFit="false"/>
      <protection locked="true" hidden="false"/>
    </xf>
    <xf numFmtId="169" fontId="13" fillId="0" borderId="2" xfId="0" applyFont="true" applyBorder="true" applyAlignment="true" applyProtection="true">
      <alignment horizontal="center" vertical="center" textRotation="0" wrapText="true" indent="0" shrinkToFit="false"/>
      <protection locked="true" hidden="false"/>
    </xf>
    <xf numFmtId="164" fontId="13" fillId="0" borderId="2" xfId="0" applyFont="true" applyBorder="true" applyAlignment="true" applyProtection="true">
      <alignment horizontal="center" vertical="center" textRotation="0" wrapText="false" indent="0" shrinkToFit="false"/>
      <protection locked="true" hidden="false"/>
    </xf>
    <xf numFmtId="164" fontId="9" fillId="0" borderId="2" xfId="0" applyFont="true" applyBorder="true" applyAlignment="true" applyProtection="true">
      <alignment horizontal="left" vertical="center" textRotation="0" wrapText="true" indent="0" shrinkToFit="false"/>
      <protection locked="true" hidden="false"/>
    </xf>
    <xf numFmtId="164" fontId="13" fillId="0" borderId="6" xfId="0" applyFont="true" applyBorder="true" applyAlignment="true" applyProtection="true">
      <alignment horizontal="center" vertical="center" textRotation="0" wrapText="true" indent="0" shrinkToFit="false"/>
      <protection locked="true" hidden="false"/>
    </xf>
    <xf numFmtId="164" fontId="27" fillId="0" borderId="2" xfId="0" applyFont="true" applyBorder="true" applyAlignment="true" applyProtection="true">
      <alignment horizontal="general" vertical="center" textRotation="0" wrapText="true" indent="0" shrinkToFit="false"/>
      <protection locked="true" hidden="false"/>
    </xf>
    <xf numFmtId="164" fontId="16" fillId="0" borderId="3" xfId="0" applyFont="true" applyBorder="true" applyAlignment="true" applyProtection="true">
      <alignment horizontal="left" vertical="center" textRotation="0" wrapText="true" indent="0" shrinkToFit="false"/>
      <protection locked="true" hidden="false"/>
    </xf>
    <xf numFmtId="164" fontId="13" fillId="0" borderId="7" xfId="0" applyFont="true" applyBorder="true" applyAlignment="true" applyProtection="true">
      <alignment horizontal="center" vertical="center" textRotation="0" wrapText="true" indent="0" shrinkToFit="false"/>
      <protection locked="true" hidden="false"/>
    </xf>
    <xf numFmtId="164" fontId="28" fillId="0" borderId="2" xfId="0" applyFont="true" applyBorder="true" applyAlignment="true" applyProtection="true">
      <alignment horizontal="general" vertical="center" textRotation="0" wrapText="true" indent="0" shrinkToFit="false"/>
      <protection locked="true" hidden="false"/>
    </xf>
    <xf numFmtId="164" fontId="7" fillId="0" borderId="8" xfId="0" applyFont="true" applyBorder="true" applyAlignment="true" applyProtection="true">
      <alignment horizontal="general" vertical="bottom" textRotation="0" wrapText="true" indent="0" shrinkToFit="false"/>
      <protection locked="true" hidden="false"/>
    </xf>
    <xf numFmtId="164" fontId="7" fillId="0" borderId="2" xfId="0" applyFont="true" applyBorder="true" applyAlignment="true" applyProtection="true">
      <alignment horizontal="center" vertical="center" textRotation="0" wrapText="true" indent="0" shrinkToFit="false"/>
      <protection locked="true" hidden="false"/>
    </xf>
    <xf numFmtId="164" fontId="7" fillId="0" borderId="7" xfId="0" applyFont="true" applyBorder="true" applyAlignment="true" applyProtection="true">
      <alignment horizontal="center" vertical="center" textRotation="0" wrapText="true" indent="0" shrinkToFit="false"/>
      <protection locked="true" hidden="false"/>
    </xf>
    <xf numFmtId="166" fontId="7" fillId="0" borderId="2" xfId="0" applyFont="true" applyBorder="true" applyAlignment="true" applyProtection="true">
      <alignment horizontal="center" vertical="center" textRotation="0" wrapText="false" indent="0" shrinkToFit="false"/>
      <protection locked="true" hidden="false"/>
    </xf>
    <xf numFmtId="165" fontId="9" fillId="0" borderId="2" xfId="0" applyFont="true" applyBorder="true" applyAlignment="true" applyProtection="true">
      <alignment horizontal="center" vertical="center" textRotation="0" wrapText="true" indent="0" shrinkToFit="false"/>
      <protection locked="true" hidden="false"/>
    </xf>
    <xf numFmtId="164" fontId="9" fillId="0" borderId="9" xfId="0" applyFont="true" applyBorder="true" applyAlignment="true" applyProtection="true">
      <alignment horizontal="center" vertical="center" textRotation="0" wrapText="true" indent="0" shrinkToFit="false"/>
      <protection locked="true" hidden="false"/>
    </xf>
    <xf numFmtId="164" fontId="28" fillId="0" borderId="2" xfId="0" applyFont="true" applyBorder="true" applyAlignment="true" applyProtection="true">
      <alignment horizontal="justify" vertical="top" textRotation="0" wrapText="true" indent="0" shrinkToFit="false"/>
      <protection locked="true" hidden="false"/>
    </xf>
    <xf numFmtId="164" fontId="7" fillId="0" borderId="10" xfId="0" applyFont="true" applyBorder="true" applyAlignment="true" applyProtection="true">
      <alignment horizontal="general" vertical="bottom" textRotation="0" wrapText="true" indent="0" shrinkToFit="false"/>
      <protection locked="true" hidden="false"/>
    </xf>
    <xf numFmtId="164" fontId="7" fillId="0" borderId="3" xfId="0" applyFont="true" applyBorder="true" applyAlignment="true" applyProtection="true">
      <alignment horizontal="center" vertical="center" textRotation="0" wrapText="true" indent="0" shrinkToFit="false"/>
      <protection locked="true" hidden="false"/>
    </xf>
    <xf numFmtId="164" fontId="7" fillId="0" borderId="11" xfId="0" applyFont="true" applyBorder="true" applyAlignment="true" applyProtection="true">
      <alignment horizontal="center" vertical="center" textRotation="0" wrapText="true" indent="0" shrinkToFit="false"/>
      <protection locked="true" hidden="false"/>
    </xf>
    <xf numFmtId="166" fontId="7" fillId="0" borderId="3" xfId="0" applyFont="true" applyBorder="true" applyAlignment="true" applyProtection="true">
      <alignment horizontal="center" vertical="center" textRotation="0" wrapText="false" indent="0" shrinkToFit="false"/>
      <protection locked="true" hidden="false"/>
    </xf>
    <xf numFmtId="165" fontId="9" fillId="0" borderId="3" xfId="0" applyFont="true" applyBorder="true" applyAlignment="true" applyProtection="true">
      <alignment horizontal="center" vertical="center" textRotation="0" wrapText="true" indent="0" shrinkToFit="false"/>
      <protection locked="true" hidden="false"/>
    </xf>
    <xf numFmtId="165" fontId="9" fillId="0" borderId="2" xfId="0" applyFont="true" applyBorder="true" applyAlignment="true" applyProtection="true">
      <alignment horizontal="center" vertical="center" textRotation="0" wrapText="false" indent="0" shrinkToFit="false"/>
      <protection locked="true" hidden="false"/>
    </xf>
    <xf numFmtId="164" fontId="29" fillId="0" borderId="2" xfId="0" applyFont="true" applyBorder="true" applyAlignment="true" applyProtection="true">
      <alignment horizontal="justify" vertical="top" textRotation="0" wrapText="true" indent="0" shrinkToFit="false"/>
      <protection locked="true" hidden="false"/>
    </xf>
    <xf numFmtId="164" fontId="7" fillId="0" borderId="8" xfId="0" applyFont="true" applyBorder="true" applyAlignment="true" applyProtection="true">
      <alignment horizontal="general" vertical="center" textRotation="0" wrapText="true" indent="0" shrinkToFit="false"/>
      <protection locked="true" hidden="false"/>
    </xf>
    <xf numFmtId="166" fontId="8" fillId="0" borderId="2" xfId="0" applyFont="true" applyBorder="true" applyAlignment="true" applyProtection="true">
      <alignment horizontal="center" vertical="center" textRotation="0" wrapText="false" indent="0" shrinkToFit="false"/>
      <protection locked="true" hidden="false"/>
    </xf>
    <xf numFmtId="165" fontId="7" fillId="0" borderId="2" xfId="0" applyFont="true" applyBorder="true" applyAlignment="true" applyProtection="true">
      <alignment horizontal="center" vertical="center" textRotation="0" wrapText="true" indent="0" shrinkToFit="false"/>
      <protection locked="true" hidden="false"/>
    </xf>
    <xf numFmtId="164" fontId="29" fillId="0" borderId="2" xfId="0" applyFont="true" applyBorder="true" applyAlignment="true" applyProtection="true">
      <alignment horizontal="general" vertical="center" textRotation="0" wrapText="true" indent="0" shrinkToFit="false"/>
      <protection locked="true" hidden="false"/>
    </xf>
    <xf numFmtId="165" fontId="7" fillId="0" borderId="2" xfId="0" applyFont="true" applyBorder="true" applyAlignment="true" applyProtection="true">
      <alignment horizontal="center" vertical="center" textRotation="0" wrapText="false" indent="0" shrinkToFit="false"/>
      <protection locked="true" hidden="false"/>
    </xf>
    <xf numFmtId="164" fontId="29" fillId="0" borderId="2" xfId="0" applyFont="true" applyBorder="true" applyAlignment="true" applyProtection="true">
      <alignment horizontal="justify" vertical="center" textRotation="0" wrapText="true" indent="0" shrinkToFit="false"/>
      <protection locked="true" hidden="false"/>
    </xf>
    <xf numFmtId="164" fontId="9" fillId="0" borderId="6" xfId="0" applyFont="true" applyBorder="true" applyAlignment="true" applyProtection="true">
      <alignment horizontal="center" vertical="center" textRotation="0" wrapText="false" indent="0" shrinkToFit="false"/>
      <protection locked="true" hidden="false"/>
    </xf>
    <xf numFmtId="165" fontId="9" fillId="3" borderId="2" xfId="0" applyFont="true" applyBorder="true" applyAlignment="true" applyProtection="true">
      <alignment horizontal="center" vertical="center" textRotation="0" wrapText="true" indent="0" shrinkToFit="false"/>
      <protection locked="true" hidden="false"/>
    </xf>
    <xf numFmtId="164" fontId="9" fillId="0" borderId="9" xfId="0" applyFont="true" applyBorder="true" applyAlignment="true" applyProtection="true">
      <alignment horizontal="center" vertical="center" textRotation="0" wrapText="false" indent="0" shrinkToFit="false"/>
      <protection locked="true" hidden="false"/>
    </xf>
    <xf numFmtId="164" fontId="9" fillId="0" borderId="3" xfId="0" applyFont="true" applyBorder="true" applyAlignment="true" applyProtection="true">
      <alignment horizontal="center" vertical="center" textRotation="0" wrapText="false" indent="0" shrinkToFit="false"/>
      <protection locked="true" hidden="false"/>
    </xf>
    <xf numFmtId="164" fontId="30" fillId="0" borderId="12" xfId="0" applyFont="true" applyBorder="true" applyAlignment="true" applyProtection="true">
      <alignment horizontal="center" vertical="center" textRotation="0" wrapText="true" indent="0" shrinkToFit="false"/>
      <protection locked="true" hidden="false"/>
    </xf>
    <xf numFmtId="164" fontId="29" fillId="0" borderId="3" xfId="0" applyFont="true" applyBorder="true" applyAlignment="true" applyProtection="true">
      <alignment horizontal="center" vertical="center" textRotation="0" wrapText="true" indent="0" shrinkToFit="false"/>
      <protection locked="true" hidden="false"/>
    </xf>
    <xf numFmtId="164" fontId="29" fillId="0" borderId="12" xfId="0" applyFont="true" applyBorder="true" applyAlignment="true" applyProtection="true">
      <alignment horizontal="center" vertical="center" textRotation="0" wrapText="true" indent="0" shrinkToFit="false"/>
      <protection locked="true" hidden="false"/>
    </xf>
    <xf numFmtId="164" fontId="31" fillId="0" borderId="2" xfId="0" applyFont="true" applyBorder="true" applyAlignment="true" applyProtection="true">
      <alignment horizontal="general" vertical="center" textRotation="0" wrapText="true" indent="0" shrinkToFit="false"/>
      <protection locked="true" hidden="false"/>
    </xf>
    <xf numFmtId="164" fontId="29" fillId="0" borderId="2" xfId="0" applyFont="true" applyBorder="true" applyAlignment="true" applyProtection="true">
      <alignment horizontal="center" vertical="center" textRotation="0" wrapText="true" indent="0" shrinkToFit="false"/>
      <protection locked="true" hidden="false"/>
    </xf>
    <xf numFmtId="166" fontId="8" fillId="0" borderId="7" xfId="0" applyFont="true" applyBorder="true" applyAlignment="true" applyProtection="true">
      <alignment horizontal="center" vertical="center" textRotation="0" wrapText="false" indent="0" shrinkToFit="false"/>
      <protection locked="true" hidden="false"/>
    </xf>
    <xf numFmtId="164" fontId="9" fillId="0" borderId="5" xfId="0" applyFont="true" applyBorder="true" applyAlignment="true" applyProtection="true">
      <alignment horizontal="center" vertical="center" textRotation="0" wrapText="false" indent="0" shrinkToFit="false"/>
      <protection locked="true" hidden="false"/>
    </xf>
    <xf numFmtId="164" fontId="9" fillId="0" borderId="5" xfId="0" applyFont="true" applyBorder="true" applyAlignment="true" applyProtection="true">
      <alignment horizontal="left" vertical="center" textRotation="0" wrapText="true" indent="0" shrinkToFit="false"/>
      <protection locked="true" hidden="false"/>
    </xf>
    <xf numFmtId="164" fontId="9" fillId="0" borderId="6" xfId="0" applyFont="true" applyBorder="true" applyAlignment="true" applyProtection="true">
      <alignment horizontal="general" vertical="bottom" textRotation="0" wrapText="true" indent="0" shrinkToFit="false"/>
      <protection locked="true" hidden="false"/>
    </xf>
    <xf numFmtId="166" fontId="16" fillId="2" borderId="2" xfId="0" applyFont="true" applyBorder="true" applyAlignment="true" applyProtection="true">
      <alignment horizontal="center" vertical="center" textRotation="0" wrapText="true" indent="0" shrinkToFit="false"/>
      <protection locked="true" hidden="false"/>
    </xf>
    <xf numFmtId="165" fontId="9" fillId="2" borderId="2" xfId="0" applyFont="true" applyBorder="true" applyAlignment="true" applyProtection="true">
      <alignment horizontal="center" vertical="center" textRotation="0" wrapText="true" indent="0" shrinkToFit="false"/>
      <protection locked="true" hidden="false"/>
    </xf>
    <xf numFmtId="164" fontId="9" fillId="0" borderId="3" xfId="0" applyFont="true" applyBorder="true" applyAlignment="true" applyProtection="true">
      <alignment horizontal="left" vertical="center" textRotation="0" wrapText="true" indent="0" shrinkToFit="false"/>
      <protection locked="true" hidden="false"/>
    </xf>
    <xf numFmtId="164" fontId="9" fillId="0" borderId="2" xfId="0" applyFont="true" applyBorder="true" applyAlignment="true" applyProtection="true">
      <alignment horizontal="general" vertical="bottom" textRotation="0" wrapText="true" indent="0" shrinkToFit="false"/>
      <protection locked="true" hidden="false"/>
    </xf>
    <xf numFmtId="164" fontId="7" fillId="0" borderId="2" xfId="0" applyFont="true" applyBorder="true" applyAlignment="true" applyProtection="true">
      <alignment horizontal="center" vertical="center" textRotation="0" wrapText="false" indent="0" shrinkToFit="false"/>
      <protection locked="true" hidden="false"/>
    </xf>
    <xf numFmtId="164" fontId="9" fillId="0" borderId="2" xfId="0" applyFont="true" applyBorder="true" applyAlignment="true" applyProtection="true">
      <alignment horizontal="center" vertical="bottom" textRotation="0" wrapText="false" indent="0" shrinkToFit="false"/>
      <protection locked="true" hidden="false"/>
    </xf>
    <xf numFmtId="164" fontId="24" fillId="0" borderId="2" xfId="0" applyFont="true" applyBorder="true" applyAlignment="true" applyProtection="true">
      <alignment horizontal="general" vertical="bottom" textRotation="0" wrapText="false" indent="0" shrinkToFit="false"/>
      <protection locked="true" hidden="false"/>
    </xf>
    <xf numFmtId="164" fontId="24" fillId="0" borderId="6"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6" fontId="0" fillId="0" borderId="2" xfId="0" applyFont="fals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4" fontId="0" fillId="0" borderId="10" xfId="0" applyFont="false" applyBorder="true" applyAlignment="true" applyProtection="true">
      <alignment horizontal="center" vertical="bottom" textRotation="0" wrapText="false" indent="0" shrinkToFit="false"/>
      <protection locked="true" hidden="false"/>
    </xf>
    <xf numFmtId="166" fontId="17" fillId="0" borderId="2" xfId="0" applyFont="true" applyBorder="true" applyAlignment="true" applyProtection="true">
      <alignment horizontal="center" vertical="center" textRotation="0" wrapText="true" indent="0" shrinkToFit="false"/>
      <protection locked="true" hidden="false"/>
    </xf>
    <xf numFmtId="166" fontId="18" fillId="0" borderId="2" xfId="0" applyFont="true" applyBorder="true" applyAlignment="true" applyProtection="true">
      <alignment horizontal="general" vertical="center" textRotation="0" wrapText="true" indent="0" shrinkToFit="false"/>
      <protection locked="true" hidden="false"/>
    </xf>
    <xf numFmtId="170" fontId="20" fillId="0" borderId="2" xfId="0" applyFont="true" applyBorder="true" applyAlignment="true" applyProtection="true">
      <alignment horizontal="center" vertical="center" textRotation="0" wrapText="true" indent="0" shrinkToFit="false"/>
      <protection locked="true" hidden="false"/>
    </xf>
    <xf numFmtId="167" fontId="32" fillId="0" borderId="2" xfId="0" applyFont="true" applyBorder="true" applyAlignment="true" applyProtection="true">
      <alignment horizontal="center" vertical="center" textRotation="0" wrapText="true" indent="0" shrinkToFit="false"/>
      <protection locked="true" hidden="false"/>
    </xf>
    <xf numFmtId="166" fontId="18" fillId="0" borderId="2" xfId="0" applyFont="true" applyBorder="true" applyAlignment="true" applyProtection="true">
      <alignment horizontal="center" vertical="center" textRotation="0" wrapText="true" indent="0" shrinkToFit="false"/>
      <protection locked="true" hidden="false"/>
    </xf>
    <xf numFmtId="168" fontId="22" fillId="0" borderId="2" xfId="0" applyFont="true" applyBorder="true" applyAlignment="true" applyProtection="true">
      <alignment horizontal="center" vertical="center" textRotation="0" wrapText="tru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71" fontId="2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1" fillId="3" borderId="2" xfId="0" applyFont="true" applyBorder="true" applyAlignment="true" applyProtection="true">
      <alignment horizontal="center" vertical="center" textRotation="0" wrapText="true" indent="0" shrinkToFit="false"/>
      <protection locked="true" hidden="false"/>
    </xf>
    <xf numFmtId="164" fontId="6" fillId="3" borderId="2" xfId="0" applyFont="true" applyBorder="true" applyAlignment="true" applyProtection="true">
      <alignment horizontal="center" vertical="center" textRotation="0" wrapText="true" indent="0" shrinkToFit="false"/>
      <protection locked="true" hidden="false"/>
    </xf>
    <xf numFmtId="164" fontId="12" fillId="3" borderId="2" xfId="0" applyFont="true" applyBorder="true" applyAlignment="true" applyProtection="true">
      <alignment horizontal="center" vertical="center" textRotation="0" wrapText="true" indent="0" shrinkToFit="false"/>
      <protection locked="true" hidden="false"/>
    </xf>
    <xf numFmtId="164" fontId="33" fillId="3" borderId="2" xfId="0" applyFont="true" applyBorder="true" applyAlignment="true" applyProtection="true">
      <alignment horizontal="center" vertical="center" textRotation="0" wrapText="true" indent="0" shrinkToFit="false"/>
      <protection locked="true" hidden="false"/>
    </xf>
    <xf numFmtId="164" fontId="5" fillId="3" borderId="2" xfId="0" applyFont="true" applyBorder="true" applyAlignment="true" applyProtection="true">
      <alignment horizontal="center" vertical="center" textRotation="0" wrapText="true" indent="0" shrinkToFit="false"/>
      <protection locked="true" hidden="false"/>
    </xf>
    <xf numFmtId="164" fontId="5" fillId="3" borderId="2" xfId="0" applyFont="true" applyBorder="true" applyAlignment="true" applyProtection="true">
      <alignment horizontal="justify" vertical="center" textRotation="0" wrapText="true" indent="0" shrinkToFit="false"/>
      <protection locked="true" hidden="false"/>
    </xf>
    <xf numFmtId="166" fontId="34" fillId="3" borderId="2" xfId="0" applyFont="true" applyBorder="true" applyAlignment="true" applyProtection="true">
      <alignment horizontal="center" vertical="center" textRotation="0" wrapText="true" indent="0" shrinkToFit="false"/>
      <protection locked="true" hidden="false"/>
    </xf>
    <xf numFmtId="166" fontId="35" fillId="3" borderId="2" xfId="0" applyFont="true" applyBorder="true" applyAlignment="true" applyProtection="true">
      <alignment horizontal="center" vertical="center" textRotation="0" wrapText="true" indent="0" shrinkToFit="false"/>
      <protection locked="true" hidden="false"/>
    </xf>
    <xf numFmtId="164" fontId="34" fillId="3" borderId="2" xfId="0" applyFont="true" applyBorder="true" applyAlignment="true" applyProtection="true">
      <alignment horizontal="general" vertical="center" textRotation="0" wrapText="true" indent="0" shrinkToFit="false"/>
      <protection locked="true" hidden="false"/>
    </xf>
    <xf numFmtId="164" fontId="10" fillId="3" borderId="2" xfId="0" applyFont="true" applyBorder="true" applyAlignment="true" applyProtection="true">
      <alignment horizontal="center" vertical="center" textRotation="0" wrapText="true" indent="0" shrinkToFit="false"/>
      <protection locked="true" hidden="false"/>
    </xf>
    <xf numFmtId="164" fontId="6" fillId="3" borderId="2" xfId="0" applyFont="true" applyBorder="true" applyAlignment="true" applyProtection="true">
      <alignment horizontal="justify" vertical="center" textRotation="0" wrapText="tru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8" fontId="5" fillId="3" borderId="2" xfId="0" applyFont="true" applyBorder="true" applyAlignment="true" applyProtection="true">
      <alignment horizontal="center" vertical="center" textRotation="0" wrapText="true" indent="0" shrinkToFit="false"/>
      <protection locked="true" hidden="false"/>
    </xf>
    <xf numFmtId="168" fontId="34" fillId="3" borderId="2" xfId="0" applyFont="true" applyBorder="true" applyAlignment="true" applyProtection="true">
      <alignment horizontal="center" vertical="center" textRotation="0" wrapText="true" indent="0" shrinkToFit="false"/>
      <protection locked="true" hidden="false"/>
    </xf>
    <xf numFmtId="164" fontId="11" fillId="3" borderId="2" xfId="0" applyFont="true" applyBorder="true" applyAlignment="true" applyProtection="true">
      <alignment horizontal="justify" vertical="center" textRotation="0" wrapText="true" indent="0" shrinkToFit="false"/>
      <protection locked="true" hidden="false"/>
    </xf>
    <xf numFmtId="164" fontId="9" fillId="0" borderId="2" xfId="0" applyFont="true" applyBorder="true" applyAlignment="true" applyProtection="true">
      <alignment horizontal="justify" vertical="center" textRotation="0" wrapText="false" indent="0" shrinkToFit="false"/>
      <protection locked="true" hidden="false"/>
    </xf>
    <xf numFmtId="164" fontId="6" fillId="3" borderId="2" xfId="0" applyFont="true" applyBorder="true" applyAlignment="true" applyProtection="true">
      <alignment horizontal="general" vertical="center" textRotation="0" wrapText="true" indent="0" shrinkToFit="false"/>
      <protection locked="true" hidden="false"/>
    </xf>
    <xf numFmtId="164" fontId="5" fillId="2" borderId="2" xfId="0" applyFont="true" applyBorder="true" applyAlignment="true" applyProtection="true">
      <alignment horizontal="general" vertical="center" textRotation="0" wrapText="true" indent="0" shrinkToFit="false"/>
      <protection locked="true" hidden="false"/>
    </xf>
    <xf numFmtId="164" fontId="5" fillId="3" borderId="2" xfId="0" applyFont="true" applyBorder="true" applyAlignment="true" applyProtection="true">
      <alignment horizontal="general" vertical="center" textRotation="0" wrapText="true" indent="0" shrinkToFit="false"/>
      <protection locked="true" hidden="false"/>
    </xf>
    <xf numFmtId="164" fontId="38" fillId="3" borderId="2" xfId="0" applyFont="true" applyBorder="true" applyAlignment="true" applyProtection="true">
      <alignment horizontal="general" vertical="center" textRotation="0" wrapText="true" indent="0" shrinkToFit="false"/>
      <protection locked="true" hidden="false"/>
    </xf>
    <xf numFmtId="164" fontId="12" fillId="3" borderId="2" xfId="0" applyFont="true" applyBorder="true" applyAlignment="true" applyProtection="true">
      <alignment horizontal="general" vertical="bottom" textRotation="0" wrapText="true" indent="0" shrinkToFit="false"/>
      <protection locked="true" hidden="false"/>
    </xf>
    <xf numFmtId="164" fontId="6" fillId="0" borderId="2" xfId="0" applyFont="true" applyBorder="true" applyAlignment="true" applyProtection="true">
      <alignment horizontal="general" vertical="center" textRotation="0" wrapText="true" indent="0" shrinkToFit="false"/>
      <protection locked="true" hidden="false"/>
    </xf>
    <xf numFmtId="164" fontId="38" fillId="0" borderId="2" xfId="0" applyFont="true" applyBorder="true" applyAlignment="true" applyProtection="true">
      <alignment horizontal="general" vertical="center" textRotation="0" wrapText="true" indent="0" shrinkToFit="false"/>
      <protection locked="true" hidden="false"/>
    </xf>
    <xf numFmtId="164" fontId="12" fillId="0" borderId="2" xfId="0" applyFont="true" applyBorder="true" applyAlignment="true" applyProtection="true">
      <alignment horizontal="general" vertical="bottom" textRotation="0" wrapText="false" indent="0" shrinkToFit="false"/>
      <protection locked="true" hidden="false"/>
    </xf>
    <xf numFmtId="164" fontId="12" fillId="0" borderId="2" xfId="0" applyFont="true" applyBorder="true" applyAlignment="true" applyProtection="true">
      <alignment horizontal="center" vertical="bottom" textRotation="0" wrapText="false" indent="0" shrinkToFit="false"/>
      <protection locked="true" hidden="false"/>
    </xf>
    <xf numFmtId="164" fontId="38" fillId="3" borderId="2" xfId="0" applyFont="true" applyBorder="true" applyAlignment="true" applyProtection="true">
      <alignment horizontal="center" vertical="center" textRotation="0" wrapText="true" indent="0" shrinkToFit="false"/>
      <protection locked="true" hidden="false"/>
    </xf>
    <xf numFmtId="164" fontId="38" fillId="0" borderId="2" xfId="0" applyFont="true" applyBorder="true" applyAlignment="true" applyProtection="true">
      <alignment horizontal="center" vertical="center" textRotation="0" wrapText="true" indent="0" shrinkToFit="false"/>
      <protection locked="true" hidden="false"/>
    </xf>
    <xf numFmtId="164" fontId="6" fillId="3" borderId="2" xfId="0" applyFont="true" applyBorder="true" applyAlignment="true" applyProtection="true">
      <alignment horizontal="right" vertical="center" textRotation="0" wrapText="true" indent="0" shrinkToFit="false"/>
      <protection locked="true" hidden="false"/>
    </xf>
    <xf numFmtId="164" fontId="15" fillId="3" borderId="2" xfId="0" applyFont="true" applyBorder="true" applyAlignment="true" applyProtection="true">
      <alignment horizontal="center" vertical="center" textRotation="0" wrapText="true" indent="0" shrinkToFit="false"/>
      <protection locked="true" hidden="false"/>
    </xf>
    <xf numFmtId="164" fontId="39" fillId="3" borderId="2" xfId="0" applyFont="true" applyBorder="true" applyAlignment="true" applyProtection="true">
      <alignment horizontal="center" vertical="center" textRotation="0" wrapText="true" indent="0" shrinkToFit="false"/>
      <protection locked="true" hidden="false"/>
    </xf>
    <xf numFmtId="164" fontId="11" fillId="0" borderId="2" xfId="0" applyFont="true" applyBorder="true" applyAlignment="true" applyProtection="true">
      <alignment horizontal="center" vertical="center" textRotation="0" wrapText="true" indent="0" shrinkToFit="false"/>
      <protection locked="true" hidden="false"/>
    </xf>
    <xf numFmtId="164" fontId="12" fillId="0" borderId="2" xfId="0" applyFont="true" applyBorder="true" applyAlignment="true" applyProtection="true">
      <alignment horizontal="center" vertical="center" textRotation="0" wrapText="true" indent="0" shrinkToFit="false"/>
      <protection locked="true" hidden="false"/>
    </xf>
    <xf numFmtId="164" fontId="33" fillId="0" borderId="2" xfId="0" applyFont="true" applyBorder="true" applyAlignment="true" applyProtection="true">
      <alignment horizontal="center" vertical="center" textRotation="0" wrapText="true" indent="0" shrinkToFit="false"/>
      <protection locked="true" hidden="false"/>
    </xf>
    <xf numFmtId="164" fontId="11" fillId="0" borderId="2" xfId="20" applyFont="true" applyBorder="true" applyAlignment="true" applyProtection="true">
      <alignment horizontal="justify" vertical="center" textRotation="0" wrapText="true" indent="0" shrinkToFit="false"/>
      <protection locked="true" hidden="false"/>
    </xf>
    <xf numFmtId="164" fontId="34" fillId="0" borderId="2" xfId="0" applyFont="true" applyBorder="true" applyAlignment="true" applyProtection="true">
      <alignment horizontal="general" vertical="center" textRotation="0" wrapText="true" indent="0" shrinkToFit="false"/>
      <protection locked="true" hidden="false"/>
    </xf>
    <xf numFmtId="164" fontId="34" fillId="0" borderId="2" xfId="0" applyFont="true" applyBorder="true" applyAlignment="true" applyProtection="true">
      <alignment horizontal="general" vertical="center" textRotation="0" wrapText="false" indent="0" shrinkToFit="false"/>
      <protection locked="true" hidden="false"/>
    </xf>
    <xf numFmtId="164" fontId="8" fillId="0" borderId="2" xfId="0" applyFont="true" applyBorder="true" applyAlignment="true" applyProtection="true">
      <alignment horizontal="justify" vertical="center" textRotation="0" wrapText="true" indent="0" shrinkToFit="false"/>
      <protection locked="true" hidden="false"/>
    </xf>
    <xf numFmtId="164" fontId="34" fillId="0" borderId="2" xfId="0" applyFont="true" applyBorder="true" applyAlignment="true" applyProtection="true">
      <alignment horizontal="justify" vertical="center" textRotation="0" wrapText="true" indent="0" shrinkToFit="false"/>
      <protection locked="true" hidden="false"/>
    </xf>
    <xf numFmtId="165" fontId="34" fillId="0" borderId="2" xfId="0" applyFont="true" applyBorder="true" applyAlignment="true" applyProtection="true">
      <alignment horizontal="general" vertical="center" textRotation="0" wrapText="true" indent="0" shrinkToFit="false"/>
      <protection locked="true" hidden="false"/>
    </xf>
    <xf numFmtId="165" fontId="34" fillId="0" borderId="2" xfId="0" applyFont="true" applyBorder="true" applyAlignment="true" applyProtection="true">
      <alignment horizontal="center" vertical="center" textRotation="0" wrapText="true" indent="0" shrinkToFit="false"/>
      <protection locked="true" hidden="false"/>
    </xf>
    <xf numFmtId="165" fontId="5" fillId="0" borderId="2"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justify" vertical="center" textRotation="0" wrapText="true" indent="0" shrinkToFit="false"/>
      <protection locked="true" hidden="false"/>
    </xf>
    <xf numFmtId="164" fontId="41" fillId="0" borderId="0" xfId="20" applyFont="true" applyBorder="true" applyAlignment="true" applyProtection="true">
      <alignment horizontal="general" vertical="center" textRotation="0" wrapText="false" indent="0" shrinkToFit="false"/>
      <protection locked="true" hidden="false"/>
    </xf>
    <xf numFmtId="164" fontId="40" fillId="0" borderId="0" xfId="2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2" fillId="0" borderId="0" xfId="0" applyFont="true" applyBorder="false" applyAlignment="true" applyProtection="true">
      <alignment horizontal="general" vertical="bottom" textRotation="0" wrapText="false" indent="0" shrinkToFit="false"/>
      <protection locked="true" hidden="false"/>
    </xf>
    <xf numFmtId="164" fontId="21" fillId="0" borderId="2" xfId="0" applyFont="true" applyBorder="true" applyAlignment="true" applyProtection="true">
      <alignment horizontal="center" vertical="center" textRotation="0" wrapText="true" indent="0" shrinkToFit="false"/>
      <protection locked="true" hidden="false"/>
    </xf>
    <xf numFmtId="164" fontId="21" fillId="0" borderId="2" xfId="0" applyFont="true" applyBorder="true" applyAlignment="true" applyProtection="true">
      <alignment horizontal="right" vertical="center" textRotation="0" wrapText="true" indent="0" shrinkToFit="false"/>
      <protection locked="true" hidden="false"/>
    </xf>
    <xf numFmtId="164" fontId="43" fillId="0" borderId="2" xfId="0" applyFont="true" applyBorder="true" applyAlignment="true" applyProtection="true">
      <alignment horizontal="center" vertical="center" textRotation="0" wrapText="true" indent="0" shrinkToFit="false"/>
      <protection locked="true" hidden="false"/>
    </xf>
    <xf numFmtId="164" fontId="17" fillId="0" borderId="2" xfId="0" applyFont="true" applyBorder="true" applyAlignment="true" applyProtection="true">
      <alignment horizontal="general" vertical="center" textRotation="0" wrapText="true" indent="0" shrinkToFit="false"/>
      <protection locked="true" hidden="false"/>
    </xf>
    <xf numFmtId="165" fontId="17" fillId="0" borderId="2" xfId="0" applyFont="true" applyBorder="true" applyAlignment="true" applyProtection="true">
      <alignment horizontal="right" vertical="center" textRotation="0" wrapText="true" indent="0" shrinkToFit="false"/>
      <protection locked="true" hidden="false"/>
    </xf>
    <xf numFmtId="164" fontId="17" fillId="0" borderId="2" xfId="0" applyFont="true" applyBorder="true" applyAlignment="true" applyProtection="true">
      <alignment horizontal="justify" vertical="center" textRotation="0" wrapText="true" indent="0" shrinkToFit="false"/>
      <protection locked="true" hidden="false"/>
    </xf>
    <xf numFmtId="165" fontId="32" fillId="0" borderId="2" xfId="0" applyFont="true" applyBorder="true" applyAlignment="true" applyProtection="true">
      <alignment horizontal="right" vertical="center" textRotation="0" wrapText="true" indent="0" shrinkToFit="false"/>
      <protection locked="true" hidden="false"/>
    </xf>
    <xf numFmtId="165" fontId="18" fillId="0" borderId="2" xfId="0" applyFont="true" applyBorder="true" applyAlignment="true" applyProtection="true">
      <alignment horizontal="center" vertical="center" textRotation="0" wrapText="true" indent="0" shrinkToFit="false"/>
      <protection locked="true" hidden="false"/>
    </xf>
    <xf numFmtId="165" fontId="18" fillId="0" borderId="2" xfId="0" applyFont="true" applyBorder="true" applyAlignment="true" applyProtection="true">
      <alignment horizontal="right" vertical="center" textRotation="0" wrapText="tru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64" fontId="45" fillId="0" borderId="2" xfId="0" applyFont="true" applyBorder="true" applyAlignment="true" applyProtection="true">
      <alignment horizontal="justify" vertical="center" textRotation="0" wrapText="true" indent="0" shrinkToFit="false"/>
      <protection locked="true" hidden="false"/>
    </xf>
    <xf numFmtId="165" fontId="18" fillId="0" borderId="2" xfId="0" applyFont="true" applyBorder="true" applyAlignment="true" applyProtection="true">
      <alignment horizontal="general" vertical="center" textRotation="0" wrapText="true" indent="0" shrinkToFit="false"/>
      <protection locked="true" hidden="false"/>
    </xf>
    <xf numFmtId="164" fontId="46" fillId="0" borderId="2" xfId="0" applyFont="true" applyBorder="true" applyAlignment="true" applyProtection="true">
      <alignment horizontal="general" vertical="bottom" textRotation="0" wrapText="false" indent="0" shrinkToFit="false"/>
      <protection locked="true" hidden="false"/>
    </xf>
    <xf numFmtId="172" fontId="47" fillId="3" borderId="2" xfId="0" applyFont="true" applyBorder="true" applyAlignment="true" applyProtection="true">
      <alignment horizontal="center" vertical="center" textRotation="0" wrapText="false" indent="0" shrinkToFit="true"/>
      <protection locked="true" hidden="false"/>
    </xf>
    <xf numFmtId="164" fontId="47" fillId="3" borderId="2" xfId="0" applyFont="true" applyBorder="true" applyAlignment="true" applyProtection="true">
      <alignment horizontal="left" vertical="center" textRotation="0" wrapText="true" indent="0" shrinkToFit="false"/>
      <protection locked="true" hidden="false"/>
    </xf>
    <xf numFmtId="166" fontId="48" fillId="3" borderId="2" xfId="0" applyFont="true" applyBorder="true" applyAlignment="true" applyProtection="true">
      <alignment horizontal="right" vertical="center" textRotation="0" wrapText="false" indent="0" shrinkToFit="true"/>
      <protection locked="true" hidden="false"/>
    </xf>
    <xf numFmtId="173" fontId="49" fillId="3" borderId="2" xfId="0" applyFont="true" applyBorder="true" applyAlignment="true" applyProtection="true">
      <alignment horizontal="right" vertical="center" textRotation="0" wrapText="false" indent="0" shrinkToFit="true"/>
      <protection locked="true" hidden="false"/>
    </xf>
    <xf numFmtId="164" fontId="50" fillId="0" borderId="2" xfId="0" applyFont="true" applyBorder="true" applyAlignment="true" applyProtection="true">
      <alignment horizontal="general" vertical="bottom" textRotation="0" wrapText="false" indent="0" shrinkToFit="false"/>
      <protection locked="true" hidden="false"/>
    </xf>
    <xf numFmtId="164" fontId="43" fillId="3" borderId="2" xfId="0" applyFont="true" applyBorder="true" applyAlignment="true" applyProtection="true">
      <alignment horizontal="left" vertical="center" textRotation="0" wrapText="true" indent="0" shrinkToFit="false"/>
      <protection locked="true" hidden="false"/>
    </xf>
    <xf numFmtId="166" fontId="51" fillId="3" borderId="2" xfId="0" applyFont="true" applyBorder="true" applyAlignment="true" applyProtection="true">
      <alignment horizontal="right" vertical="center" textRotation="0" wrapText="false" indent="0" shrinkToFit="true"/>
      <protection locked="true" hidden="false"/>
    </xf>
    <xf numFmtId="173" fontId="45" fillId="3" borderId="2" xfId="0" applyFont="true" applyBorder="true" applyAlignment="true" applyProtection="true">
      <alignment horizontal="right" vertical="center" textRotation="0" wrapText="false" indent="0" shrinkToFit="true"/>
      <protection locked="true" hidden="false"/>
    </xf>
    <xf numFmtId="166" fontId="52" fillId="3" borderId="2" xfId="0" applyFont="true" applyBorder="true" applyAlignment="true" applyProtection="true">
      <alignment horizontal="right" vertical="center" textRotation="0" wrapText="false" indent="0" shrinkToFit="true"/>
      <protection locked="true" hidden="false"/>
    </xf>
    <xf numFmtId="165" fontId="0" fillId="0" borderId="0" xfId="0" applyFont="false" applyBorder="false" applyAlignment="true" applyProtection="true">
      <alignment horizontal="righ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1" zoomScaleNormal="101" zoomScalePageLayoutView="100" workbookViewId="0">
      <selection pane="topLeft" activeCell="C8" activeCellId="0" sqref="C8"/>
    </sheetView>
  </sheetViews>
  <sheetFormatPr defaultColWidth="8.83984375" defaultRowHeight="13.5" customHeight="false" zeroHeight="false" outlineLevelRow="0" outlineLevelCol="0"/>
  <cols>
    <col collapsed="false" customWidth="true" hidden="false" outlineLevel="0" max="2" min="2" style="1" width="47.16"/>
    <col collapsed="false" customWidth="true" hidden="false" outlineLevel="0" max="3" min="3" style="1" width="104.5"/>
  </cols>
  <sheetData>
    <row r="1" customFormat="false" ht="17.25" hidden="false" customHeight="true" outlineLevel="0" collapsed="false">
      <c r="A1" s="2" t="s">
        <v>0</v>
      </c>
      <c r="B1" s="2"/>
      <c r="C1" s="2"/>
    </row>
    <row r="2" customFormat="false" ht="15" hidden="false" customHeight="false" outlineLevel="0" collapsed="false">
      <c r="A2" s="3" t="s">
        <v>1</v>
      </c>
      <c r="B2" s="4" t="s">
        <v>2</v>
      </c>
      <c r="C2" s="4" t="s">
        <v>3</v>
      </c>
    </row>
    <row r="3" customFormat="false" ht="15" hidden="false" customHeight="true" outlineLevel="0" collapsed="false">
      <c r="A3" s="5" t="n">
        <v>1</v>
      </c>
      <c r="B3" s="6" t="s">
        <v>4</v>
      </c>
      <c r="C3" s="7" t="s">
        <v>5</v>
      </c>
    </row>
    <row r="4" customFormat="false" ht="64.9" hidden="false" customHeight="false" outlineLevel="0" collapsed="false">
      <c r="A4" s="5"/>
      <c r="B4" s="6"/>
      <c r="C4" s="8" t="s">
        <v>6</v>
      </c>
    </row>
    <row r="5" customFormat="false" ht="26.85" hidden="false" customHeight="false" outlineLevel="0" collapsed="false">
      <c r="A5" s="5"/>
      <c r="B5" s="6"/>
      <c r="C5" s="9" t="s">
        <v>7</v>
      </c>
    </row>
    <row r="6" customFormat="false" ht="15" hidden="false" customHeight="false" outlineLevel="0" collapsed="false">
      <c r="A6" s="5"/>
      <c r="B6" s="6"/>
      <c r="C6" s="10" t="s">
        <v>8</v>
      </c>
    </row>
    <row r="7" customFormat="false" ht="15" hidden="false" customHeight="false" outlineLevel="0" collapsed="false">
      <c r="A7" s="5"/>
      <c r="B7" s="6"/>
      <c r="C7" s="9" t="s">
        <v>9</v>
      </c>
    </row>
    <row r="8" customFormat="false" ht="26.85" hidden="false" customHeight="false" outlineLevel="0" collapsed="false">
      <c r="A8" s="5"/>
      <c r="B8" s="6"/>
      <c r="C8" s="8" t="s">
        <v>10</v>
      </c>
    </row>
    <row r="9" customFormat="false" ht="15" hidden="false" customHeight="false" outlineLevel="0" collapsed="false">
      <c r="A9" s="5"/>
      <c r="B9" s="6"/>
      <c r="C9" s="11" t="s">
        <v>11</v>
      </c>
    </row>
    <row r="10" customFormat="false" ht="26.85" hidden="false" customHeight="false" outlineLevel="0" collapsed="false">
      <c r="A10" s="5"/>
      <c r="B10" s="6"/>
      <c r="C10" s="12" t="s">
        <v>12</v>
      </c>
    </row>
    <row r="11" customFormat="false" ht="26.85" hidden="false" customHeight="false" outlineLevel="0" collapsed="false">
      <c r="A11" s="5"/>
      <c r="B11" s="6"/>
      <c r="C11" s="13" t="s">
        <v>13</v>
      </c>
    </row>
    <row r="12" customFormat="false" ht="24" hidden="false" customHeight="true" outlineLevel="0" collapsed="false">
      <c r="A12" s="14" t="n">
        <v>2</v>
      </c>
      <c r="B12" s="15" t="s">
        <v>14</v>
      </c>
      <c r="C12" s="16" t="s">
        <v>15</v>
      </c>
    </row>
    <row r="13" customFormat="false" ht="34.5" hidden="false" customHeight="true" outlineLevel="0" collapsed="false">
      <c r="A13" s="14"/>
      <c r="B13" s="15"/>
      <c r="C13" s="16"/>
    </row>
    <row r="14" customFormat="false" ht="13.5" hidden="false" customHeight="false" outlineLevel="0" collapsed="false">
      <c r="A14" s="17"/>
    </row>
  </sheetData>
  <mergeCells count="3">
    <mergeCell ref="A1:C1"/>
    <mergeCell ref="A3:A11"/>
    <mergeCell ref="B3:B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
  <sheetViews>
    <sheetView showFormulas="false" showGridLines="true" showRowColHeaders="true" showZeros="true" rightToLeft="false" tabSelected="true" showOutlineSymbols="true" defaultGridColor="true" view="normal" topLeftCell="A1" colorId="64" zoomScale="101" zoomScaleNormal="101" zoomScalePageLayoutView="100" workbookViewId="0">
      <selection pane="topLeft" activeCell="C20" activeCellId="0" sqref="C20"/>
    </sheetView>
  </sheetViews>
  <sheetFormatPr defaultColWidth="8.66796875" defaultRowHeight="13.5" customHeight="false" zeroHeight="false" outlineLevelRow="0" outlineLevelCol="0"/>
  <cols>
    <col collapsed="false" customWidth="true" hidden="false" outlineLevel="0" max="2" min="2" style="1" width="30.84"/>
    <col collapsed="false" customWidth="true" hidden="false" outlineLevel="0" max="3" min="3" style="1" width="10.66"/>
    <col collapsed="false" customWidth="true" hidden="false" outlineLevel="0" max="4" min="4" style="1" width="13.66"/>
    <col collapsed="false" customWidth="true" hidden="false" outlineLevel="0" max="5" min="5" style="1" width="14.16"/>
    <col collapsed="false" customWidth="true" hidden="false" outlineLevel="0" max="7" min="7" style="1" width="12.83"/>
    <col collapsed="false" customWidth="true" hidden="false" outlineLevel="0" max="9" min="9" style="1" width="12.17"/>
    <col collapsed="false" customWidth="true" hidden="false" outlineLevel="0" max="12" min="12" style="1" width="13.66"/>
  </cols>
  <sheetData>
    <row r="1" customFormat="false" ht="13.5" hidden="false" customHeight="false" outlineLevel="0" collapsed="false">
      <c r="A1" s="18" t="s">
        <v>16</v>
      </c>
      <c r="B1" s="18"/>
      <c r="C1" s="18"/>
      <c r="D1" s="18"/>
      <c r="E1" s="18"/>
      <c r="F1" s="18"/>
      <c r="G1" s="18"/>
      <c r="H1" s="18"/>
      <c r="I1" s="18"/>
      <c r="J1" s="18"/>
      <c r="K1" s="18"/>
    </row>
    <row r="2" customFormat="false" ht="13.5" hidden="false" customHeight="false" outlineLevel="0" collapsed="false">
      <c r="A2" s="18" t="s">
        <v>17</v>
      </c>
      <c r="B2" s="18"/>
      <c r="C2" s="18"/>
      <c r="D2" s="18"/>
      <c r="E2" s="18"/>
      <c r="F2" s="18"/>
      <c r="G2" s="18"/>
      <c r="H2" s="18"/>
      <c r="I2" s="18"/>
      <c r="J2" s="18"/>
      <c r="K2" s="18"/>
    </row>
    <row r="3" customFormat="false" ht="15" hidden="false" customHeight="false" outlineLevel="0" collapsed="false">
      <c r="A3" s="19"/>
      <c r="B3" s="19"/>
      <c r="C3" s="19"/>
      <c r="D3" s="19"/>
      <c r="E3" s="19"/>
      <c r="F3" s="19"/>
      <c r="G3" s="19"/>
      <c r="H3" s="19"/>
      <c r="I3" s="20" t="s">
        <v>18</v>
      </c>
      <c r="K3" s="19"/>
    </row>
    <row r="4" customFormat="false" ht="15" hidden="false" customHeight="true" outlineLevel="0" collapsed="false">
      <c r="A4" s="4" t="s">
        <v>19</v>
      </c>
      <c r="B4" s="4" t="s">
        <v>20</v>
      </c>
      <c r="C4" s="4" t="s">
        <v>21</v>
      </c>
      <c r="D4" s="4" t="s">
        <v>22</v>
      </c>
      <c r="E4" s="4"/>
      <c r="F4" s="4"/>
      <c r="G4" s="4"/>
      <c r="H4" s="4"/>
      <c r="I4" s="4"/>
      <c r="J4" s="4"/>
      <c r="K4" s="4"/>
    </row>
    <row r="5" customFormat="false" ht="15" hidden="false" customHeight="true" outlineLevel="0" collapsed="false">
      <c r="A5" s="4"/>
      <c r="B5" s="4"/>
      <c r="C5" s="4"/>
      <c r="D5" s="21" t="s">
        <v>23</v>
      </c>
      <c r="E5" s="21"/>
      <c r="F5" s="21"/>
      <c r="G5" s="21"/>
      <c r="H5" s="21"/>
      <c r="I5" s="21"/>
      <c r="J5" s="4" t="s">
        <v>24</v>
      </c>
      <c r="K5" s="4" t="s">
        <v>25</v>
      </c>
    </row>
    <row r="6" customFormat="false" ht="52.2" hidden="false" customHeight="false" outlineLevel="0" collapsed="false">
      <c r="A6" s="4"/>
      <c r="B6" s="4"/>
      <c r="C6" s="4"/>
      <c r="D6" s="22" t="s">
        <v>26</v>
      </c>
      <c r="E6" s="23" t="s">
        <v>27</v>
      </c>
      <c r="F6" s="24" t="s">
        <v>28</v>
      </c>
      <c r="G6" s="23" t="s">
        <v>27</v>
      </c>
      <c r="H6" s="22" t="s">
        <v>29</v>
      </c>
      <c r="I6" s="23" t="s">
        <v>30</v>
      </c>
      <c r="J6" s="4"/>
      <c r="K6" s="4"/>
    </row>
    <row r="7" customFormat="false" ht="15" hidden="false" customHeight="false" outlineLevel="0" collapsed="false">
      <c r="A7" s="23" t="n">
        <v>1</v>
      </c>
      <c r="B7" s="23" t="n">
        <v>2</v>
      </c>
      <c r="C7" s="23" t="n">
        <v>3</v>
      </c>
      <c r="D7" s="23" t="s">
        <v>31</v>
      </c>
      <c r="E7" s="23" t="s">
        <v>32</v>
      </c>
      <c r="F7" s="23" t="n">
        <v>6</v>
      </c>
      <c r="G7" s="23" t="n">
        <v>7</v>
      </c>
      <c r="H7" s="23" t="n">
        <v>8</v>
      </c>
      <c r="I7" s="23" t="n">
        <v>9</v>
      </c>
      <c r="J7" s="23" t="n">
        <v>10</v>
      </c>
      <c r="K7" s="23" t="n">
        <v>11</v>
      </c>
    </row>
    <row r="8" customFormat="false" ht="33.75" hidden="false" customHeight="true" outlineLevel="0" collapsed="false">
      <c r="A8" s="4" t="n">
        <v>1</v>
      </c>
      <c r="B8" s="25" t="s">
        <v>33</v>
      </c>
      <c r="C8" s="26" t="n">
        <f aca="false">'1a.Thulaothamgianhiemvu-12Thang'!$H$43</f>
        <v>28.3941818181818</v>
      </c>
      <c r="D8" s="26" t="n">
        <f aca="false">'1a.Thulaothamgianhiemvu-12Thang'!$H$43</f>
        <v>28.3941818181818</v>
      </c>
      <c r="E8" s="26" t="n">
        <f aca="false">'1a.Thulaothamgianhiemvu-12Thang'!$H$43</f>
        <v>28.3941818181818</v>
      </c>
      <c r="F8" s="26" t="n">
        <f aca="false">'1a.Thulaothamgianhiemvu-12Thang'!$I$43</f>
        <v>28.3941818181818</v>
      </c>
      <c r="G8" s="26" t="n">
        <f aca="false">'1a.Thulaothamgianhiemvu-12Thang'!$I$43</f>
        <v>28.3941818181818</v>
      </c>
      <c r="H8" s="27"/>
      <c r="I8" s="27"/>
      <c r="J8" s="22"/>
      <c r="K8" s="22"/>
      <c r="L8" s="28"/>
    </row>
    <row r="9" customFormat="false" ht="51.75" hidden="false" customHeight="true" outlineLevel="0" collapsed="false">
      <c r="A9" s="4" t="n">
        <v>2</v>
      </c>
      <c r="B9" s="25" t="s">
        <v>34</v>
      </c>
      <c r="C9" s="26"/>
      <c r="D9" s="26"/>
      <c r="E9" s="26"/>
      <c r="F9" s="26"/>
      <c r="G9" s="26"/>
      <c r="H9" s="27"/>
      <c r="I9" s="27"/>
      <c r="J9" s="22"/>
      <c r="K9" s="22"/>
      <c r="L9" s="28"/>
    </row>
    <row r="10" customFormat="false" ht="18" hidden="false" customHeight="true" outlineLevel="0" collapsed="false">
      <c r="A10" s="4" t="n">
        <v>3</v>
      </c>
      <c r="B10" s="29" t="s">
        <v>35</v>
      </c>
      <c r="C10" s="26"/>
      <c r="D10" s="26"/>
      <c r="E10" s="26"/>
      <c r="F10" s="26"/>
      <c r="G10" s="26"/>
      <c r="H10" s="27"/>
      <c r="I10" s="27"/>
      <c r="J10" s="22"/>
      <c r="K10" s="22"/>
      <c r="L10" s="28"/>
    </row>
    <row r="11" customFormat="false" ht="15" hidden="false" customHeight="false" outlineLevel="0" collapsed="false">
      <c r="A11" s="4" t="n">
        <v>4</v>
      </c>
      <c r="B11" s="29" t="s">
        <v>36</v>
      </c>
      <c r="C11" s="26"/>
      <c r="D11" s="26"/>
      <c r="E11" s="26"/>
      <c r="F11" s="26"/>
      <c r="G11" s="26"/>
      <c r="H11" s="27"/>
      <c r="I11" s="27"/>
      <c r="J11" s="22"/>
      <c r="K11" s="22"/>
      <c r="L11" s="28"/>
    </row>
    <row r="12" customFormat="false" ht="15" hidden="false" customHeight="false" outlineLevel="0" collapsed="false">
      <c r="A12" s="4" t="n">
        <v>5</v>
      </c>
      <c r="B12" s="29" t="s">
        <v>37</v>
      </c>
      <c r="C12" s="26"/>
      <c r="D12" s="26"/>
      <c r="E12" s="26"/>
      <c r="F12" s="26"/>
      <c r="G12" s="26"/>
      <c r="H12" s="27"/>
      <c r="I12" s="27"/>
      <c r="J12" s="22"/>
      <c r="K12" s="22"/>
      <c r="L12" s="28"/>
    </row>
    <row r="13" customFormat="false" ht="15" hidden="false" customHeight="false" outlineLevel="0" collapsed="false">
      <c r="A13" s="4" t="n">
        <v>6</v>
      </c>
      <c r="B13" s="29" t="s">
        <v>38</v>
      </c>
      <c r="C13" s="26" t="n">
        <f aca="false">'5. Chi khác'!$E$15</f>
        <v>1.49443062200957</v>
      </c>
      <c r="D13" s="26" t="n">
        <f aca="false">'5. Chi khác'!E15</f>
        <v>1.49443062200957</v>
      </c>
      <c r="E13" s="26" t="n">
        <f aca="false">'5. Chi khác'!F15</f>
        <v>1.49443062200957</v>
      </c>
      <c r="F13" s="26" t="n">
        <f aca="false">'5. Chi khác'!G15</f>
        <v>1.49443062200957</v>
      </c>
      <c r="G13" s="26" t="n">
        <f aca="false">'5. Chi khác'!H15</f>
        <v>1.49443062200957</v>
      </c>
      <c r="H13" s="27"/>
      <c r="I13" s="27"/>
      <c r="J13" s="22"/>
      <c r="K13" s="22"/>
      <c r="L13" s="28"/>
    </row>
    <row r="14" customFormat="false" ht="25.5" hidden="false" customHeight="true" outlineLevel="0" collapsed="false">
      <c r="A14" s="30"/>
      <c r="B14" s="4" t="s">
        <v>39</v>
      </c>
      <c r="C14" s="31" t="n">
        <f aca="false">SUM(C8:C13)</f>
        <v>29.8886124401914</v>
      </c>
      <c r="D14" s="26" t="n">
        <f aca="false">SUM(D8:D13)</f>
        <v>29.8886124401914</v>
      </c>
      <c r="E14" s="26" t="n">
        <f aca="false">SUM(E8:E13)</f>
        <v>29.8886124401914</v>
      </c>
      <c r="F14" s="26" t="n">
        <f aca="false">SUM(F8:F13)</f>
        <v>29.8886124401914</v>
      </c>
      <c r="G14" s="26" t="n">
        <f aca="false">SUM(G8:G13)</f>
        <v>29.8886124401914</v>
      </c>
      <c r="H14" s="27"/>
      <c r="I14" s="27"/>
      <c r="J14" s="22"/>
      <c r="K14" s="22"/>
      <c r="L14" s="28"/>
    </row>
    <row r="19" customFormat="false" ht="13.5" hidden="false" customHeight="false" outlineLevel="0" collapsed="false">
      <c r="E19" s="28"/>
    </row>
    <row r="22" customFormat="false" ht="13.5" hidden="false" customHeight="false" outlineLevel="0" collapsed="false">
      <c r="F22" s="28"/>
    </row>
    <row r="25" customFormat="false" ht="13.5" hidden="false" customHeight="false" outlineLevel="0" collapsed="false">
      <c r="F25" s="28"/>
    </row>
    <row r="27" customFormat="false" ht="13.5" hidden="false" customHeight="false" outlineLevel="0" collapsed="false">
      <c r="H27" s="28"/>
    </row>
  </sheetData>
  <mergeCells count="9">
    <mergeCell ref="A1:K1"/>
    <mergeCell ref="A2:K2"/>
    <mergeCell ref="A4:A6"/>
    <mergeCell ref="B4:B6"/>
    <mergeCell ref="C4:C6"/>
    <mergeCell ref="D4:K4"/>
    <mergeCell ref="D5:I5"/>
    <mergeCell ref="J5:J6"/>
    <mergeCell ref="K5:K6"/>
  </mergeCells>
  <printOptions headings="false" gridLines="false" gridLinesSet="true" horizontalCentered="false" verticalCentered="false"/>
  <pageMargins left="0.7" right="0.170138888888889"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2"/>
  <sheetViews>
    <sheetView showFormulas="false" showGridLines="true" showRowColHeaders="true" showZeros="true" rightToLeft="false" tabSelected="false" showOutlineSymbols="true" defaultGridColor="true" view="normal" topLeftCell="A1" colorId="64" zoomScale="101" zoomScaleNormal="101" zoomScalePageLayoutView="100" workbookViewId="0">
      <selection pane="topLeft" activeCell="D12" activeCellId="0" sqref="D12"/>
    </sheetView>
  </sheetViews>
  <sheetFormatPr defaultColWidth="8.83984375" defaultRowHeight="13.5" customHeight="false" zeroHeight="false" outlineLevelRow="0" outlineLevelCol="0"/>
  <cols>
    <col collapsed="false" customWidth="true" hidden="false" outlineLevel="0" max="1" min="1" style="1" width="6.16"/>
    <col collapsed="false" customWidth="true" hidden="false" outlineLevel="0" max="2" min="2" style="1" width="38.83"/>
    <col collapsed="false" customWidth="true" hidden="false" outlineLevel="0" max="3" min="3" style="1" width="18"/>
    <col collapsed="false" customWidth="true" hidden="false" outlineLevel="0" max="4" min="4" style="1" width="28.17"/>
    <col collapsed="false" customWidth="true" hidden="false" outlineLevel="0" max="5" min="5" style="1" width="24.34"/>
    <col collapsed="false" customWidth="true" hidden="false" outlineLevel="0" max="6" min="6" style="1" width="30"/>
  </cols>
  <sheetData>
    <row r="2" customFormat="false" ht="17.25" hidden="false" customHeight="false" outlineLevel="0" collapsed="false">
      <c r="A2" s="32" t="s">
        <v>40</v>
      </c>
      <c r="B2" s="32"/>
      <c r="C2" s="32"/>
      <c r="D2" s="32"/>
      <c r="E2" s="32"/>
      <c r="F2" s="32"/>
    </row>
    <row r="3" customFormat="false" ht="17.25" hidden="false" customHeight="false" outlineLevel="0" collapsed="false">
      <c r="A3" s="32" t="s">
        <v>41</v>
      </c>
      <c r="B3" s="32"/>
      <c r="C3" s="32"/>
      <c r="D3" s="32"/>
      <c r="E3" s="32"/>
      <c r="F3" s="32"/>
    </row>
    <row r="4" customFormat="false" ht="15.75" hidden="false" customHeight="true" outlineLevel="0" collapsed="false"/>
    <row r="5" customFormat="false" ht="16.15" hidden="false" customHeight="true" outlineLevel="0" collapsed="false">
      <c r="A5" s="33" t="s">
        <v>42</v>
      </c>
      <c r="B5" s="33" t="s">
        <v>43</v>
      </c>
      <c r="C5" s="33" t="s">
        <v>44</v>
      </c>
      <c r="D5" s="33" t="s">
        <v>45</v>
      </c>
      <c r="E5" s="33" t="s">
        <v>46</v>
      </c>
      <c r="F5" s="33"/>
    </row>
    <row r="6" customFormat="false" ht="27" hidden="false" customHeight="true" outlineLevel="0" collapsed="false">
      <c r="A6" s="33"/>
      <c r="B6" s="33"/>
      <c r="C6" s="33"/>
      <c r="D6" s="33"/>
      <c r="E6" s="34" t="s">
        <v>23</v>
      </c>
      <c r="F6" s="35" t="s">
        <v>47</v>
      </c>
    </row>
    <row r="7" customFormat="false" ht="16.15" hidden="false" customHeight="false" outlineLevel="0" collapsed="false">
      <c r="A7" s="36" t="n">
        <v>1</v>
      </c>
      <c r="B7" s="37" t="s">
        <v>48</v>
      </c>
      <c r="C7" s="38" t="n">
        <v>1</v>
      </c>
      <c r="D7" s="39" t="n">
        <f aca="false">'1a.Thulaothamgianhiemvu-12Thang'!H51</f>
        <v>2.4</v>
      </c>
      <c r="E7" s="40" t="n">
        <f aca="false">'1a.Thulaothamgianhiemvu-12Thang'!I51</f>
        <v>4.32</v>
      </c>
      <c r="F7" s="41"/>
    </row>
    <row r="8" customFormat="false" ht="16.15" hidden="false" customHeight="false" outlineLevel="0" collapsed="false">
      <c r="A8" s="36" t="n">
        <v>2</v>
      </c>
      <c r="B8" s="37" t="s">
        <v>49</v>
      </c>
      <c r="C8" s="38" t="n">
        <v>1</v>
      </c>
      <c r="D8" s="39" t="n">
        <f aca="false">'1a.Thulaothamgianhiemvu-12Thang'!H52</f>
        <v>2.4</v>
      </c>
      <c r="E8" s="40" t="n">
        <f aca="false">'1a.Thulaothamgianhiemvu-12Thang'!I52</f>
        <v>1.296</v>
      </c>
      <c r="F8" s="41"/>
    </row>
    <row r="9" customFormat="false" ht="16.15" hidden="false" customHeight="false" outlineLevel="0" collapsed="false">
      <c r="A9" s="36" t="n">
        <v>3</v>
      </c>
      <c r="B9" s="37" t="s">
        <v>50</v>
      </c>
      <c r="C9" s="38" t="n">
        <v>3</v>
      </c>
      <c r="D9" s="39" t="n">
        <f aca="false">'1a.Thulaothamgianhiemvu-12Thang'!H53</f>
        <v>4.72727272727273</v>
      </c>
      <c r="E9" s="40" t="n">
        <f aca="false">'1a.Thulaothamgianhiemvu-12Thang'!I53</f>
        <v>6.80727272727273</v>
      </c>
      <c r="F9" s="41"/>
    </row>
    <row r="10" customFormat="false" ht="16.15" hidden="false" customHeight="false" outlineLevel="0" collapsed="false">
      <c r="A10" s="36" t="n">
        <v>4</v>
      </c>
      <c r="B10" s="37" t="s">
        <v>51</v>
      </c>
      <c r="C10" s="38" t="n">
        <v>3</v>
      </c>
      <c r="D10" s="39" t="n">
        <f aca="false">'1a.Thulaothamgianhiemvu-12Thang'!H54</f>
        <v>22.1818181818182</v>
      </c>
      <c r="E10" s="40" t="n">
        <f aca="false">'1a.Thulaothamgianhiemvu-12Thang'!I54</f>
        <v>15.9709090909091</v>
      </c>
      <c r="F10" s="41"/>
    </row>
    <row r="11" customFormat="false" ht="17.25" hidden="false" customHeight="true" outlineLevel="0" collapsed="false">
      <c r="A11" s="36" t="n">
        <v>5</v>
      </c>
      <c r="B11" s="37" t="s">
        <v>52</v>
      </c>
      <c r="C11" s="42" t="n">
        <v>0</v>
      </c>
      <c r="D11" s="39" t="n">
        <f aca="false">'1a.Thulaothamgianhiemvu-12Thang'!H55</f>
        <v>0</v>
      </c>
      <c r="E11" s="40" t="n">
        <f aca="false">'1a.Thulaothamgianhiemvu-12Thang'!I55</f>
        <v>0</v>
      </c>
      <c r="F11" s="41"/>
    </row>
    <row r="12" customFormat="false" ht="31.5" hidden="false" customHeight="true" outlineLevel="0" collapsed="false">
      <c r="A12" s="33" t="s">
        <v>53</v>
      </c>
      <c r="B12" s="33"/>
      <c r="C12" s="33"/>
      <c r="D12" s="43" t="n">
        <f aca="false">'1a.Thulaothamgianhiemvu-12Thang'!H56</f>
        <v>31.7090909090909</v>
      </c>
      <c r="E12" s="40" t="n">
        <f aca="false">'1a.Thulaothamgianhiemvu-12Thang'!I56</f>
        <v>28.3941818181818</v>
      </c>
      <c r="F12" s="44"/>
    </row>
  </sheetData>
  <mergeCells count="8">
    <mergeCell ref="A2:F2"/>
    <mergeCell ref="A3:F3"/>
    <mergeCell ref="A5:A6"/>
    <mergeCell ref="B5:B6"/>
    <mergeCell ref="C5:C6"/>
    <mergeCell ref="D5:D6"/>
    <mergeCell ref="E5:F5"/>
    <mergeCell ref="A12:C1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1"/>
  <sheetViews>
    <sheetView showFormulas="false" showGridLines="true" showRowColHeaders="true" showZeros="true" rightToLeft="false" tabSelected="false" showOutlineSymbols="true" defaultGridColor="true" view="normal" topLeftCell="C37" colorId="64" zoomScale="101" zoomScaleNormal="101" zoomScalePageLayoutView="100" workbookViewId="0">
      <selection pane="topLeft" activeCell="H37" activeCellId="0" sqref="H37"/>
    </sheetView>
  </sheetViews>
  <sheetFormatPr defaultColWidth="8.66796875" defaultRowHeight="14.25" customHeight="false" zeroHeight="false" outlineLevelRow="0" outlineLevelCol="0"/>
  <cols>
    <col collapsed="false" customWidth="true" hidden="false" outlineLevel="0" max="1" min="1" style="1" width="9.16"/>
    <col collapsed="false" customWidth="true" hidden="false" outlineLevel="0" max="2" min="2" style="1" width="57.16"/>
    <col collapsed="false" customWidth="true" hidden="false" outlineLevel="0" max="4" min="3" style="45" width="14.67"/>
    <col collapsed="false" customWidth="true" hidden="false" outlineLevel="0" max="6" min="5" style="1" width="12.34"/>
    <col collapsed="false" customWidth="true" hidden="false" outlineLevel="0" max="7" min="7" style="46" width="16.33"/>
    <col collapsed="false" customWidth="true" hidden="false" outlineLevel="0" max="8" min="8" style="1" width="17.84"/>
    <col collapsed="false" customWidth="true" hidden="false" outlineLevel="0" max="9" min="9" style="47" width="21"/>
    <col collapsed="false" customWidth="true" hidden="false" outlineLevel="0" max="10" min="10" style="48" width="19.84"/>
    <col collapsed="false" customWidth="true" hidden="false" outlineLevel="0" max="14" min="14" style="1" width="9.16"/>
    <col collapsed="false" customWidth="true" hidden="false" outlineLevel="0" max="17" min="17" style="1" width="9.34"/>
  </cols>
  <sheetData>
    <row r="1" customFormat="false" ht="17.25" hidden="false" customHeight="false" outlineLevel="0" collapsed="false">
      <c r="A1" s="49" t="s">
        <v>54</v>
      </c>
      <c r="B1" s="49"/>
      <c r="C1" s="49"/>
      <c r="D1" s="49"/>
      <c r="E1" s="49"/>
      <c r="F1" s="49"/>
      <c r="G1" s="49"/>
      <c r="H1" s="49"/>
      <c r="I1" s="49"/>
      <c r="J1" s="49"/>
    </row>
    <row r="2" customFormat="false" ht="15" hidden="false" customHeight="false" outlineLevel="0" collapsed="false">
      <c r="B2" s="20"/>
      <c r="C2" s="20"/>
      <c r="D2" s="20"/>
      <c r="E2" s="20"/>
      <c r="F2" s="20"/>
      <c r="G2" s="50"/>
      <c r="H2" s="20"/>
      <c r="I2" s="50"/>
      <c r="J2" s="20" t="s">
        <v>18</v>
      </c>
    </row>
    <row r="3" customFormat="false" ht="15" hidden="false" customHeight="true" outlineLevel="0" collapsed="false">
      <c r="A3" s="51" t="s">
        <v>55</v>
      </c>
      <c r="B3" s="52" t="s">
        <v>56</v>
      </c>
      <c r="C3" s="53" t="s">
        <v>57</v>
      </c>
      <c r="D3" s="52" t="s">
        <v>58</v>
      </c>
      <c r="E3" s="54" t="s">
        <v>59</v>
      </c>
      <c r="F3" s="52" t="s">
        <v>60</v>
      </c>
      <c r="G3" s="55" t="s">
        <v>61</v>
      </c>
      <c r="H3" s="55" t="s">
        <v>62</v>
      </c>
      <c r="I3" s="51" t="s">
        <v>22</v>
      </c>
      <c r="J3" s="51"/>
    </row>
    <row r="4" customFormat="false" ht="15" hidden="false" customHeight="false" outlineLevel="0" collapsed="false">
      <c r="A4" s="51"/>
      <c r="B4" s="52" t="s">
        <v>56</v>
      </c>
      <c r="C4" s="53"/>
      <c r="D4" s="52"/>
      <c r="E4" s="54"/>
      <c r="F4" s="52"/>
      <c r="G4" s="55"/>
      <c r="H4" s="55"/>
      <c r="I4" s="56" t="s">
        <v>23</v>
      </c>
      <c r="J4" s="56"/>
    </row>
    <row r="5" customFormat="false" ht="39" hidden="false" customHeight="true" outlineLevel="0" collapsed="false">
      <c r="A5" s="51"/>
      <c r="B5" s="52"/>
      <c r="C5" s="53"/>
      <c r="D5" s="52"/>
      <c r="E5" s="54"/>
      <c r="F5" s="52"/>
      <c r="G5" s="55"/>
      <c r="H5" s="55"/>
      <c r="I5" s="57" t="s">
        <v>28</v>
      </c>
      <c r="J5" s="58" t="s">
        <v>29</v>
      </c>
    </row>
    <row r="6" customFormat="false" ht="15" hidden="false" customHeight="false" outlineLevel="0" collapsed="false">
      <c r="A6" s="52" t="n">
        <v>1</v>
      </c>
      <c r="B6" s="59" t="n">
        <v>2</v>
      </c>
      <c r="C6" s="59"/>
      <c r="D6" s="59" t="n">
        <v>3</v>
      </c>
      <c r="E6" s="59" t="n">
        <v>4</v>
      </c>
      <c r="F6" s="59" t="n">
        <v>5</v>
      </c>
      <c r="G6" s="60" t="n">
        <v>6</v>
      </c>
      <c r="H6" s="60" t="s">
        <v>63</v>
      </c>
      <c r="I6" s="61" t="n">
        <v>8</v>
      </c>
      <c r="J6" s="62" t="n">
        <v>9</v>
      </c>
    </row>
    <row r="7" customFormat="false" ht="48" hidden="false" customHeight="true" outlineLevel="0" collapsed="false">
      <c r="A7" s="52" t="s">
        <v>64</v>
      </c>
      <c r="B7" s="63" t="s">
        <v>65</v>
      </c>
      <c r="C7" s="64" t="s">
        <v>66</v>
      </c>
      <c r="D7" s="64"/>
      <c r="E7" s="64"/>
      <c r="F7" s="64"/>
      <c r="G7" s="64"/>
      <c r="H7" s="64"/>
      <c r="I7" s="65"/>
      <c r="J7" s="65"/>
    </row>
    <row r="8" customFormat="false" ht="15" hidden="false" customHeight="false" outlineLevel="0" collapsed="false">
      <c r="A8" s="52" t="s">
        <v>67</v>
      </c>
      <c r="B8" s="66" t="s">
        <v>68</v>
      </c>
      <c r="C8" s="64"/>
      <c r="D8" s="59"/>
      <c r="E8" s="67"/>
      <c r="F8" s="67"/>
      <c r="G8" s="60"/>
      <c r="H8" s="60"/>
      <c r="I8" s="61"/>
      <c r="J8" s="62"/>
    </row>
    <row r="9" customFormat="false" ht="15" hidden="false" customHeight="false" outlineLevel="0" collapsed="false">
      <c r="A9" s="53" t="n">
        <v>1</v>
      </c>
      <c r="B9" s="68" t="s">
        <v>69</v>
      </c>
      <c r="C9" s="69"/>
      <c r="D9" s="70"/>
      <c r="E9" s="71"/>
      <c r="F9" s="71"/>
      <c r="G9" s="72"/>
      <c r="H9" s="73" t="n">
        <f aca="false">H10+H13</f>
        <v>6.28363636363636</v>
      </c>
      <c r="I9" s="73" t="n">
        <f aca="false">I10+I13</f>
        <v>6.28363636363636</v>
      </c>
      <c r="J9" s="73"/>
    </row>
    <row r="10" customFormat="false" ht="15.75" hidden="false" customHeight="true" outlineLevel="0" collapsed="false">
      <c r="A10" s="74"/>
      <c r="B10" s="75" t="s">
        <v>70</v>
      </c>
      <c r="C10" s="76"/>
      <c r="D10" s="77"/>
      <c r="E10" s="78"/>
      <c r="F10" s="78"/>
      <c r="G10" s="79"/>
      <c r="H10" s="80" t="n">
        <f aca="false">H11+H12</f>
        <v>3.14181818181818</v>
      </c>
      <c r="I10" s="80" t="n">
        <f aca="false">H10</f>
        <v>3.14181818181818</v>
      </c>
      <c r="J10" s="81"/>
    </row>
    <row r="11" customFormat="false" ht="15.75" hidden="false" customHeight="true" outlineLevel="0" collapsed="false">
      <c r="A11" s="74"/>
      <c r="B11" s="82" t="s">
        <v>71</v>
      </c>
      <c r="C11" s="83" t="s">
        <v>72</v>
      </c>
      <c r="D11" s="70" t="n">
        <v>0.48</v>
      </c>
      <c r="E11" s="71" t="n">
        <v>1</v>
      </c>
      <c r="F11" s="54" t="n">
        <v>3</v>
      </c>
      <c r="G11" s="84" t="n">
        <f aca="false">32/22</f>
        <v>1.45454545454545</v>
      </c>
      <c r="H11" s="85" t="n">
        <f aca="false">D11*F11*G11</f>
        <v>2.09454545454545</v>
      </c>
      <c r="I11" s="85" t="n">
        <f aca="false">H11</f>
        <v>2.09454545454545</v>
      </c>
      <c r="J11" s="81"/>
    </row>
    <row r="12" customFormat="false" ht="15" hidden="false" customHeight="false" outlineLevel="0" collapsed="false">
      <c r="A12" s="74"/>
      <c r="B12" s="86" t="s">
        <v>73</v>
      </c>
      <c r="C12" s="83" t="s">
        <v>74</v>
      </c>
      <c r="D12" s="70" t="n">
        <v>0.24</v>
      </c>
      <c r="E12" s="71" t="n">
        <v>1</v>
      </c>
      <c r="F12" s="54" t="n">
        <v>3</v>
      </c>
      <c r="G12" s="84" t="n">
        <f aca="false">32/22</f>
        <v>1.45454545454545</v>
      </c>
      <c r="H12" s="85" t="n">
        <f aca="false">D12*F12*G12</f>
        <v>1.04727272727273</v>
      </c>
      <c r="I12" s="85" t="n">
        <f aca="false">H12</f>
        <v>1.04727272727273</v>
      </c>
      <c r="J12" s="87"/>
    </row>
    <row r="13" customFormat="false" ht="23.85" hidden="false" customHeight="false" outlineLevel="0" collapsed="false">
      <c r="A13" s="74"/>
      <c r="B13" s="68" t="s">
        <v>75</v>
      </c>
      <c r="C13" s="83"/>
      <c r="D13" s="70"/>
      <c r="E13" s="71"/>
      <c r="F13" s="54" t="n">
        <v>3</v>
      </c>
      <c r="G13" s="84"/>
      <c r="H13" s="80" t="n">
        <f aca="false">H14+H16+H15</f>
        <v>3.14181818181818</v>
      </c>
      <c r="I13" s="73" t="n">
        <f aca="false">H13</f>
        <v>3.14181818181818</v>
      </c>
      <c r="J13" s="81"/>
    </row>
    <row r="14" customFormat="false" ht="15" hidden="false" customHeight="false" outlineLevel="0" collapsed="false">
      <c r="A14" s="74"/>
      <c r="B14" s="88" t="s">
        <v>71</v>
      </c>
      <c r="C14" s="83" t="s">
        <v>72</v>
      </c>
      <c r="D14" s="70" t="n">
        <v>0.48</v>
      </c>
      <c r="E14" s="71" t="n">
        <v>1</v>
      </c>
      <c r="F14" s="54" t="n">
        <v>3</v>
      </c>
      <c r="G14" s="84" t="n">
        <f aca="false">24/22</f>
        <v>1.09090909090909</v>
      </c>
      <c r="H14" s="85" t="n">
        <f aca="false">D14*F14*G14</f>
        <v>1.57090909090909</v>
      </c>
      <c r="I14" s="85" t="n">
        <f aca="false">H14</f>
        <v>1.57090909090909</v>
      </c>
      <c r="J14" s="87"/>
    </row>
    <row r="15" customFormat="false" ht="15" hidden="false" customHeight="false" outlineLevel="0" collapsed="false">
      <c r="A15" s="74"/>
      <c r="B15" s="88" t="s">
        <v>73</v>
      </c>
      <c r="C15" s="83" t="s">
        <v>74</v>
      </c>
      <c r="D15" s="70" t="n">
        <v>0.24</v>
      </c>
      <c r="E15" s="71" t="n">
        <v>1</v>
      </c>
      <c r="F15" s="54" t="n">
        <v>3</v>
      </c>
      <c r="G15" s="84" t="n">
        <f aca="false">24/22</f>
        <v>1.09090909090909</v>
      </c>
      <c r="H15" s="85" t="n">
        <f aca="false">D15*F15*G15</f>
        <v>0.785454545454545</v>
      </c>
      <c r="I15" s="85" t="n">
        <f aca="false">H15</f>
        <v>0.785454545454545</v>
      </c>
      <c r="J15" s="87"/>
    </row>
    <row r="16" customFormat="false" ht="15" hidden="false" customHeight="false" outlineLevel="0" collapsed="false">
      <c r="A16" s="74"/>
      <c r="B16" s="88" t="s">
        <v>76</v>
      </c>
      <c r="C16" s="83" t="s">
        <v>74</v>
      </c>
      <c r="D16" s="70" t="n">
        <v>0.24</v>
      </c>
      <c r="E16" s="71" t="n">
        <v>1</v>
      </c>
      <c r="F16" s="54" t="n">
        <v>3</v>
      </c>
      <c r="G16" s="84" t="n">
        <f aca="false">24/22</f>
        <v>1.09090909090909</v>
      </c>
      <c r="H16" s="85" t="n">
        <f aca="false">D16*F16*G16</f>
        <v>0.785454545454545</v>
      </c>
      <c r="I16" s="85" t="n">
        <f aca="false">H16</f>
        <v>0.785454545454545</v>
      </c>
      <c r="J16" s="87"/>
    </row>
    <row r="17" customFormat="false" ht="23.6" hidden="false" customHeight="false" outlineLevel="0" collapsed="false">
      <c r="A17" s="89" t="n">
        <v>2</v>
      </c>
      <c r="B17" s="68" t="s">
        <v>77</v>
      </c>
      <c r="C17" s="69"/>
      <c r="D17" s="70"/>
      <c r="E17" s="71"/>
      <c r="F17" s="54" t="n">
        <v>3</v>
      </c>
      <c r="G17" s="84"/>
      <c r="H17" s="90" t="n">
        <f aca="false">H18+H23</f>
        <v>12.7636363636364</v>
      </c>
      <c r="I17" s="90" t="n">
        <f aca="false">I18+I23</f>
        <v>12.7636363636364</v>
      </c>
      <c r="J17" s="90"/>
    </row>
    <row r="18" customFormat="false" ht="15" hidden="false" customHeight="false" outlineLevel="0" collapsed="false">
      <c r="A18" s="91"/>
      <c r="B18" s="68" t="s">
        <v>78</v>
      </c>
      <c r="C18" s="69"/>
      <c r="D18" s="70"/>
      <c r="E18" s="71"/>
      <c r="F18" s="54" t="n">
        <v>3</v>
      </c>
      <c r="G18" s="57"/>
      <c r="H18" s="73" t="n">
        <f aca="false">H22+H19+H20+H21</f>
        <v>11.52</v>
      </c>
      <c r="I18" s="73" t="n">
        <f aca="false">I22+I19+I20+I21</f>
        <v>11.52</v>
      </c>
      <c r="J18" s="81"/>
    </row>
    <row r="19" customFormat="false" ht="15" hidden="false" customHeight="false" outlineLevel="0" collapsed="false">
      <c r="A19" s="91"/>
      <c r="B19" s="86" t="s">
        <v>79</v>
      </c>
      <c r="C19" s="83" t="s">
        <v>72</v>
      </c>
      <c r="D19" s="70" t="n">
        <v>0.48</v>
      </c>
      <c r="E19" s="71" t="n">
        <v>1</v>
      </c>
      <c r="F19" s="54" t="n">
        <v>3</v>
      </c>
      <c r="G19" s="84" t="n">
        <f aca="false">32/22</f>
        <v>1.45454545454545</v>
      </c>
      <c r="H19" s="85" t="n">
        <f aca="false">D19*F19*G19</f>
        <v>2.09454545454545</v>
      </c>
      <c r="I19" s="85" t="n">
        <f aca="false">H19</f>
        <v>2.09454545454545</v>
      </c>
      <c r="J19" s="87"/>
    </row>
    <row r="20" customFormat="false" ht="15" hidden="false" customHeight="false" outlineLevel="0" collapsed="false">
      <c r="A20" s="91"/>
      <c r="B20" s="86" t="s">
        <v>73</v>
      </c>
      <c r="C20" s="83" t="s">
        <v>74</v>
      </c>
      <c r="D20" s="70" t="n">
        <v>0.24</v>
      </c>
      <c r="E20" s="71" t="n">
        <v>1</v>
      </c>
      <c r="F20" s="54" t="n">
        <v>3</v>
      </c>
      <c r="G20" s="84" t="n">
        <f aca="false">96/22</f>
        <v>4.36363636363636</v>
      </c>
      <c r="H20" s="85" t="n">
        <f aca="false">D20*F20*G20</f>
        <v>3.14181818181818</v>
      </c>
      <c r="I20" s="85" t="n">
        <f aca="false">H20</f>
        <v>3.14181818181818</v>
      </c>
      <c r="J20" s="87"/>
    </row>
    <row r="21" customFormat="false" ht="15" hidden="false" customHeight="false" outlineLevel="0" collapsed="false">
      <c r="A21" s="91"/>
      <c r="B21" s="86" t="s">
        <v>80</v>
      </c>
      <c r="C21" s="83" t="s">
        <v>74</v>
      </c>
      <c r="D21" s="70" t="n">
        <v>0.24</v>
      </c>
      <c r="E21" s="71" t="n">
        <v>1</v>
      </c>
      <c r="F21" s="54" t="n">
        <v>3</v>
      </c>
      <c r="G21" s="84" t="n">
        <f aca="false">96/22</f>
        <v>4.36363636363636</v>
      </c>
      <c r="H21" s="85" t="n">
        <f aca="false">D21*F21*G21</f>
        <v>3.14181818181818</v>
      </c>
      <c r="I21" s="85" t="n">
        <f aca="false">H21-J19</f>
        <v>3.14181818181818</v>
      </c>
      <c r="J21" s="87"/>
    </row>
    <row r="22" customFormat="false" ht="15" hidden="false" customHeight="false" outlineLevel="0" collapsed="false">
      <c r="A22" s="91"/>
      <c r="B22" s="86" t="s">
        <v>76</v>
      </c>
      <c r="C22" s="83" t="s">
        <v>74</v>
      </c>
      <c r="D22" s="70" t="n">
        <v>0.24</v>
      </c>
      <c r="E22" s="71" t="n">
        <v>1</v>
      </c>
      <c r="F22" s="54" t="n">
        <v>3</v>
      </c>
      <c r="G22" s="84" t="n">
        <f aca="false">96/22</f>
        <v>4.36363636363636</v>
      </c>
      <c r="H22" s="85" t="n">
        <f aca="false">D22*F22*G22</f>
        <v>3.14181818181818</v>
      </c>
      <c r="I22" s="85" t="n">
        <f aca="false">H22</f>
        <v>3.14181818181818</v>
      </c>
      <c r="J22" s="87"/>
    </row>
    <row r="23" customFormat="false" ht="23.6" hidden="false" customHeight="false" outlineLevel="0" collapsed="false">
      <c r="A23" s="92"/>
      <c r="B23" s="68" t="s">
        <v>81</v>
      </c>
      <c r="C23" s="83"/>
      <c r="D23" s="70"/>
      <c r="E23" s="71"/>
      <c r="F23" s="54" t="n">
        <v>3</v>
      </c>
      <c r="G23" s="84"/>
      <c r="H23" s="73" t="n">
        <f aca="false">H26+H25+H24</f>
        <v>1.24363636363636</v>
      </c>
      <c r="I23" s="73" t="n">
        <f aca="false">H23</f>
        <v>1.24363636363636</v>
      </c>
      <c r="J23" s="87"/>
    </row>
    <row r="24" customFormat="false" ht="15" hidden="false" customHeight="false" outlineLevel="0" collapsed="false">
      <c r="A24" s="92"/>
      <c r="B24" s="86" t="s">
        <v>79</v>
      </c>
      <c r="C24" s="83" t="s">
        <v>72</v>
      </c>
      <c r="D24" s="70" t="n">
        <v>0.48</v>
      </c>
      <c r="E24" s="71" t="n">
        <v>1</v>
      </c>
      <c r="F24" s="54" t="n">
        <v>3</v>
      </c>
      <c r="G24" s="84" t="n">
        <f aca="false">4/22</f>
        <v>0.181818181818182</v>
      </c>
      <c r="H24" s="85" t="n">
        <f aca="false">D24*F24*G24</f>
        <v>0.261818181818182</v>
      </c>
      <c r="I24" s="85" t="n">
        <v>0.96</v>
      </c>
      <c r="J24" s="87"/>
    </row>
    <row r="25" customFormat="false" ht="15" hidden="false" customHeight="false" outlineLevel="0" collapsed="false">
      <c r="A25" s="92"/>
      <c r="B25" s="86" t="s">
        <v>73</v>
      </c>
      <c r="C25" s="83" t="s">
        <v>74</v>
      </c>
      <c r="D25" s="70" t="n">
        <v>0.24</v>
      </c>
      <c r="E25" s="71" t="n">
        <v>1</v>
      </c>
      <c r="F25" s="54" t="n">
        <v>3</v>
      </c>
      <c r="G25" s="84" t="n">
        <f aca="false">15/22</f>
        <v>0.681818181818182</v>
      </c>
      <c r="H25" s="85" t="n">
        <f aca="false">D25*F25*G25</f>
        <v>0.490909090909091</v>
      </c>
      <c r="I25" s="85" t="n">
        <f aca="false">H25-J25</f>
        <v>0.490909090909091</v>
      </c>
      <c r="J25" s="87"/>
    </row>
    <row r="26" customFormat="false" ht="15" hidden="false" customHeight="false" outlineLevel="0" collapsed="false">
      <c r="A26" s="92"/>
      <c r="B26" s="86" t="s">
        <v>80</v>
      </c>
      <c r="C26" s="83" t="s">
        <v>74</v>
      </c>
      <c r="D26" s="70" t="n">
        <v>0.24</v>
      </c>
      <c r="E26" s="71" t="n">
        <v>1</v>
      </c>
      <c r="F26" s="54" t="n">
        <v>3</v>
      </c>
      <c r="G26" s="84" t="n">
        <f aca="false">15/22</f>
        <v>0.681818181818182</v>
      </c>
      <c r="H26" s="85" t="n">
        <f aca="false">D26*F26*G26</f>
        <v>0.490909090909091</v>
      </c>
      <c r="I26" s="85" t="n">
        <f aca="false">H26-J24</f>
        <v>0.490909090909091</v>
      </c>
      <c r="J26" s="87"/>
    </row>
    <row r="27" customFormat="false" ht="23.6" hidden="false" customHeight="false" outlineLevel="0" collapsed="false">
      <c r="A27" s="93" t="n">
        <v>3</v>
      </c>
      <c r="B27" s="68" t="s">
        <v>82</v>
      </c>
      <c r="C27" s="83"/>
      <c r="D27" s="70"/>
      <c r="E27" s="71"/>
      <c r="F27" s="54" t="n">
        <v>3</v>
      </c>
      <c r="G27" s="84"/>
      <c r="H27" s="73" t="n">
        <f aca="false">H28+H32+H36</f>
        <v>3.73090909090909</v>
      </c>
      <c r="I27" s="73" t="n">
        <f aca="false">I28+I32+I36</f>
        <v>3.73090909090909</v>
      </c>
      <c r="J27" s="87"/>
    </row>
    <row r="28" customFormat="false" ht="15" hidden="false" customHeight="false" outlineLevel="0" collapsed="false">
      <c r="A28" s="94"/>
      <c r="B28" s="68" t="s">
        <v>83</v>
      </c>
      <c r="C28" s="83"/>
      <c r="D28" s="70"/>
      <c r="E28" s="71"/>
      <c r="F28" s="54" t="n">
        <v>3</v>
      </c>
      <c r="G28" s="84"/>
      <c r="H28" s="73" t="n">
        <f aca="false">H29+H31+H30</f>
        <v>1.24363636363636</v>
      </c>
      <c r="I28" s="73" t="n">
        <f aca="false">I29+I31+I30</f>
        <v>1.24363636363636</v>
      </c>
      <c r="J28" s="87"/>
    </row>
    <row r="29" customFormat="false" ht="15" hidden="false" customHeight="false" outlineLevel="0" collapsed="false">
      <c r="A29" s="94"/>
      <c r="B29" s="86" t="s">
        <v>84</v>
      </c>
      <c r="C29" s="83" t="s">
        <v>72</v>
      </c>
      <c r="D29" s="70" t="n">
        <v>0.48</v>
      </c>
      <c r="E29" s="71" t="n">
        <v>1</v>
      </c>
      <c r="F29" s="54" t="n">
        <v>3</v>
      </c>
      <c r="G29" s="84" t="n">
        <f aca="false">4/22</f>
        <v>0.181818181818182</v>
      </c>
      <c r="H29" s="85" t="n">
        <f aca="false">D29*F29*G29</f>
        <v>0.261818181818182</v>
      </c>
      <c r="I29" s="85" t="n">
        <f aca="false">H29-J29</f>
        <v>0.261818181818182</v>
      </c>
      <c r="J29" s="87"/>
    </row>
    <row r="30" customFormat="false" ht="15" hidden="false" customHeight="false" outlineLevel="0" collapsed="false">
      <c r="A30" s="94"/>
      <c r="B30" s="86" t="s">
        <v>80</v>
      </c>
      <c r="C30" s="83" t="s">
        <v>74</v>
      </c>
      <c r="D30" s="70" t="n">
        <v>0.24</v>
      </c>
      <c r="E30" s="71" t="n">
        <v>1</v>
      </c>
      <c r="F30" s="54" t="n">
        <v>3</v>
      </c>
      <c r="G30" s="84" t="n">
        <f aca="false">15/22</f>
        <v>0.681818181818182</v>
      </c>
      <c r="H30" s="85" t="n">
        <f aca="false">D30*F30*G30</f>
        <v>0.490909090909091</v>
      </c>
      <c r="I30" s="85" t="n">
        <f aca="false">H30-J28</f>
        <v>0.490909090909091</v>
      </c>
      <c r="J30" s="87"/>
    </row>
    <row r="31" customFormat="false" ht="15" hidden="false" customHeight="false" outlineLevel="0" collapsed="false">
      <c r="A31" s="94"/>
      <c r="B31" s="86" t="s">
        <v>76</v>
      </c>
      <c r="C31" s="83" t="s">
        <v>74</v>
      </c>
      <c r="D31" s="70" t="n">
        <v>0.24</v>
      </c>
      <c r="E31" s="71" t="n">
        <v>1</v>
      </c>
      <c r="F31" s="54" t="n">
        <v>3</v>
      </c>
      <c r="G31" s="84" t="n">
        <f aca="false">15/22</f>
        <v>0.681818181818182</v>
      </c>
      <c r="H31" s="85" t="n">
        <f aca="false">D31*F31*G31</f>
        <v>0.490909090909091</v>
      </c>
      <c r="I31" s="85" t="n">
        <f aca="false">H31-J29</f>
        <v>0.490909090909091</v>
      </c>
      <c r="J31" s="87"/>
    </row>
    <row r="32" customFormat="false" ht="15" hidden="false" customHeight="false" outlineLevel="0" collapsed="false">
      <c r="A32" s="95"/>
      <c r="B32" s="96" t="s">
        <v>85</v>
      </c>
      <c r="C32" s="83"/>
      <c r="D32" s="70"/>
      <c r="E32" s="71"/>
      <c r="F32" s="54" t="n">
        <v>3</v>
      </c>
      <c r="G32" s="84"/>
      <c r="H32" s="73" t="n">
        <f aca="false">H33+H35+H34</f>
        <v>1.24363636363636</v>
      </c>
      <c r="I32" s="73" t="n">
        <f aca="false">I33+I35+I34</f>
        <v>1.24363636363636</v>
      </c>
      <c r="J32" s="87"/>
    </row>
    <row r="33" customFormat="false" ht="15" hidden="false" customHeight="false" outlineLevel="0" collapsed="false">
      <c r="A33" s="95"/>
      <c r="B33" s="86" t="s">
        <v>84</v>
      </c>
      <c r="C33" s="83" t="s">
        <v>72</v>
      </c>
      <c r="D33" s="70" t="n">
        <v>0.48</v>
      </c>
      <c r="E33" s="71" t="n">
        <v>1</v>
      </c>
      <c r="F33" s="54" t="n">
        <v>3</v>
      </c>
      <c r="G33" s="84" t="n">
        <f aca="false">4/22</f>
        <v>0.181818181818182</v>
      </c>
      <c r="H33" s="85" t="n">
        <f aca="false">D33*F33*G33</f>
        <v>0.261818181818182</v>
      </c>
      <c r="I33" s="85" t="n">
        <f aca="false">H33-J33</f>
        <v>0.261818181818182</v>
      </c>
      <c r="J33" s="87"/>
    </row>
    <row r="34" customFormat="false" ht="15" hidden="false" customHeight="false" outlineLevel="0" collapsed="false">
      <c r="A34" s="95"/>
      <c r="B34" s="86" t="s">
        <v>73</v>
      </c>
      <c r="C34" s="83" t="s">
        <v>74</v>
      </c>
      <c r="D34" s="70" t="n">
        <v>0.24</v>
      </c>
      <c r="E34" s="71" t="n">
        <v>1</v>
      </c>
      <c r="F34" s="54" t="n">
        <v>3</v>
      </c>
      <c r="G34" s="84" t="n">
        <f aca="false">15/22</f>
        <v>0.681818181818182</v>
      </c>
      <c r="H34" s="85" t="n">
        <f aca="false">D34*F34*G34</f>
        <v>0.490909090909091</v>
      </c>
      <c r="I34" s="85" t="n">
        <f aca="false">H34-J34</f>
        <v>0.490909090909091</v>
      </c>
      <c r="J34" s="87"/>
    </row>
    <row r="35" customFormat="false" ht="15" hidden="false" customHeight="false" outlineLevel="0" collapsed="false">
      <c r="A35" s="95"/>
      <c r="B35" s="86" t="s">
        <v>80</v>
      </c>
      <c r="C35" s="83" t="s">
        <v>74</v>
      </c>
      <c r="D35" s="70" t="n">
        <v>0.24</v>
      </c>
      <c r="E35" s="71" t="n">
        <v>1</v>
      </c>
      <c r="F35" s="54" t="n">
        <v>3</v>
      </c>
      <c r="G35" s="84" t="n">
        <f aca="false">15/22</f>
        <v>0.681818181818182</v>
      </c>
      <c r="H35" s="85" t="n">
        <f aca="false">D35*F35*G35</f>
        <v>0.490909090909091</v>
      </c>
      <c r="I35" s="85" t="n">
        <f aca="false">H35-J35</f>
        <v>0.490909090909091</v>
      </c>
      <c r="J35" s="87"/>
    </row>
    <row r="36" customFormat="false" ht="15" hidden="false" customHeight="false" outlineLevel="0" collapsed="false">
      <c r="A36" s="97"/>
      <c r="B36" s="96" t="s">
        <v>86</v>
      </c>
      <c r="C36" s="83"/>
      <c r="D36" s="70"/>
      <c r="E36" s="71"/>
      <c r="F36" s="54" t="n">
        <v>3</v>
      </c>
      <c r="G36" s="84"/>
      <c r="H36" s="73" t="n">
        <f aca="false">H39+H37+H38</f>
        <v>1.24363636363636</v>
      </c>
      <c r="I36" s="73" t="n">
        <f aca="false">H36-J36</f>
        <v>1.24363636363636</v>
      </c>
      <c r="J36" s="87"/>
    </row>
    <row r="37" customFormat="false" ht="15" hidden="false" customHeight="false" outlineLevel="0" collapsed="false">
      <c r="A37" s="97"/>
      <c r="B37" s="86" t="s">
        <v>84</v>
      </c>
      <c r="C37" s="83" t="s">
        <v>72</v>
      </c>
      <c r="D37" s="70" t="n">
        <v>0.48</v>
      </c>
      <c r="E37" s="71" t="n">
        <v>1</v>
      </c>
      <c r="F37" s="54" t="n">
        <v>3</v>
      </c>
      <c r="G37" s="84" t="n">
        <f aca="false">4/22</f>
        <v>0.181818181818182</v>
      </c>
      <c r="H37" s="85" t="n">
        <f aca="false">D37*F37*G37</f>
        <v>0.261818181818182</v>
      </c>
      <c r="I37" s="85" t="n">
        <f aca="false">H37-J37</f>
        <v>0.261818181818182</v>
      </c>
      <c r="J37" s="87"/>
    </row>
    <row r="38" customFormat="false" ht="15" hidden="false" customHeight="false" outlineLevel="0" collapsed="false">
      <c r="A38" s="97"/>
      <c r="B38" s="86" t="s">
        <v>76</v>
      </c>
      <c r="C38" s="83" t="s">
        <v>74</v>
      </c>
      <c r="D38" s="70" t="n">
        <v>0.24</v>
      </c>
      <c r="E38" s="71" t="n">
        <v>1</v>
      </c>
      <c r="F38" s="54" t="n">
        <v>3</v>
      </c>
      <c r="G38" s="98" t="n">
        <f aca="false">15/22</f>
        <v>0.681818181818182</v>
      </c>
      <c r="H38" s="85" t="n">
        <f aca="false">D38*F38*G38</f>
        <v>0.490909090909091</v>
      </c>
      <c r="I38" s="85" t="n">
        <f aca="false">H38-J38</f>
        <v>0.490909090909091</v>
      </c>
      <c r="J38" s="87"/>
    </row>
    <row r="39" customFormat="false" ht="15" hidden="false" customHeight="false" outlineLevel="0" collapsed="false">
      <c r="A39" s="97"/>
      <c r="B39" s="86" t="s">
        <v>80</v>
      </c>
      <c r="C39" s="83" t="s">
        <v>74</v>
      </c>
      <c r="D39" s="70" t="n">
        <v>0.24</v>
      </c>
      <c r="E39" s="71" t="n">
        <v>1</v>
      </c>
      <c r="F39" s="54" t="n">
        <v>3</v>
      </c>
      <c r="G39" s="84" t="n">
        <f aca="false">15/22</f>
        <v>0.681818181818182</v>
      </c>
      <c r="H39" s="85" t="n">
        <f aca="false">D39*F39*G39</f>
        <v>0.490909090909091</v>
      </c>
      <c r="I39" s="85" t="n">
        <f aca="false">H39-J39</f>
        <v>0.490909090909091</v>
      </c>
      <c r="J39" s="87"/>
    </row>
    <row r="40" customFormat="false" ht="15" hidden="false" customHeight="false" outlineLevel="0" collapsed="false">
      <c r="A40" s="99" t="n">
        <v>4</v>
      </c>
      <c r="B40" s="100" t="s">
        <v>87</v>
      </c>
      <c r="C40" s="101" t="s">
        <v>88</v>
      </c>
      <c r="D40" s="52" t="n">
        <v>0.6</v>
      </c>
      <c r="E40" s="54" t="n">
        <v>1</v>
      </c>
      <c r="F40" s="54" t="n">
        <v>3</v>
      </c>
      <c r="G40" s="102" t="n">
        <f aca="false">0.2*12</f>
        <v>2.4</v>
      </c>
      <c r="H40" s="103" t="n">
        <f aca="false">D40*F40*G40</f>
        <v>4.32</v>
      </c>
      <c r="I40" s="103" t="n">
        <f aca="false">H40</f>
        <v>4.32</v>
      </c>
      <c r="J40" s="81"/>
    </row>
    <row r="41" customFormat="false" ht="15" hidden="false" customHeight="false" outlineLevel="0" collapsed="false">
      <c r="A41" s="92" t="n">
        <v>5</v>
      </c>
      <c r="B41" s="104" t="s">
        <v>89</v>
      </c>
      <c r="C41" s="101" t="s">
        <v>90</v>
      </c>
      <c r="D41" s="52" t="n">
        <v>0.18</v>
      </c>
      <c r="E41" s="54" t="n">
        <v>1</v>
      </c>
      <c r="F41" s="54" t="n">
        <v>3</v>
      </c>
      <c r="G41" s="102" t="n">
        <f aca="false">0.2*12</f>
        <v>2.4</v>
      </c>
      <c r="H41" s="103" t="n">
        <f aca="false">D41*F41*G41</f>
        <v>1.296</v>
      </c>
      <c r="I41" s="103" t="n">
        <f aca="false">H41</f>
        <v>1.296</v>
      </c>
      <c r="J41" s="81"/>
    </row>
    <row r="42" customFormat="false" ht="55.5" hidden="false" customHeight="true" outlineLevel="0" collapsed="false">
      <c r="A42" s="51" t="n">
        <v>6</v>
      </c>
      <c r="B42" s="63" t="s">
        <v>91</v>
      </c>
      <c r="C42" s="59" t="s">
        <v>92</v>
      </c>
      <c r="D42" s="59"/>
      <c r="E42" s="59"/>
      <c r="F42" s="59"/>
      <c r="G42" s="59"/>
      <c r="H42" s="59"/>
      <c r="I42" s="105"/>
      <c r="J42" s="105"/>
    </row>
    <row r="43" customFormat="false" ht="15" hidden="false" customHeight="false" outlineLevel="0" collapsed="false">
      <c r="A43" s="106"/>
      <c r="B43" s="107" t="s">
        <v>93</v>
      </c>
      <c r="C43" s="108"/>
      <c r="D43" s="109"/>
      <c r="E43" s="110"/>
      <c r="F43" s="110"/>
      <c r="G43" s="111"/>
      <c r="H43" s="90" t="n">
        <f aca="false">H9+H17+H27+H40+H41</f>
        <v>28.3941818181818</v>
      </c>
      <c r="I43" s="90" t="n">
        <f aca="false">I9+I17+I27+I40+I41</f>
        <v>28.3941818181818</v>
      </c>
      <c r="J43" s="90"/>
    </row>
    <row r="44" customFormat="false" ht="15" hidden="false" customHeight="false" outlineLevel="0" collapsed="false">
      <c r="A44" s="112"/>
      <c r="B44" s="113"/>
      <c r="G44" s="114"/>
      <c r="H44" s="114"/>
      <c r="I44" s="114"/>
      <c r="J44" s="114"/>
    </row>
    <row r="45" customFormat="false" ht="15" hidden="false" customHeight="false" outlineLevel="0" collapsed="false">
      <c r="A45" s="112"/>
      <c r="B45" s="113"/>
      <c r="G45" s="114"/>
      <c r="H45" s="114"/>
      <c r="I45" s="114"/>
      <c r="J45" s="114"/>
    </row>
    <row r="46" customFormat="false" ht="15" hidden="false" customHeight="false" outlineLevel="0" collapsed="false">
      <c r="A46" s="112"/>
      <c r="B46" s="113" t="s">
        <v>94</v>
      </c>
      <c r="G46" s="114"/>
      <c r="H46" s="114"/>
      <c r="I46" s="114"/>
      <c r="J46" s="114"/>
    </row>
    <row r="47" customFormat="false" ht="15" hidden="false" customHeight="false" outlineLevel="0" collapsed="false">
      <c r="A47" s="112"/>
      <c r="B47" s="113"/>
      <c r="G47" s="114"/>
      <c r="H47" s="114"/>
      <c r="I47" s="114"/>
      <c r="J47" s="114"/>
    </row>
    <row r="48" customFormat="false" ht="14.25" hidden="false" customHeight="false" outlineLevel="0" collapsed="false">
      <c r="G48" s="114"/>
      <c r="H48" s="114"/>
      <c r="I48" s="114"/>
      <c r="J48" s="114"/>
    </row>
    <row r="49" customFormat="false" ht="16.15" hidden="false" customHeight="true" outlineLevel="0" collapsed="false">
      <c r="G49" s="115" t="s">
        <v>43</v>
      </c>
      <c r="H49" s="33" t="s">
        <v>45</v>
      </c>
      <c r="I49" s="33" t="s">
        <v>46</v>
      </c>
      <c r="J49" s="33"/>
    </row>
    <row r="50" customFormat="false" ht="46.5" hidden="false" customHeight="true" outlineLevel="0" collapsed="false">
      <c r="G50" s="115"/>
      <c r="H50" s="33"/>
      <c r="I50" s="34" t="s">
        <v>23</v>
      </c>
      <c r="J50" s="35" t="s">
        <v>47</v>
      </c>
      <c r="K50" s="28"/>
    </row>
    <row r="51" customFormat="false" ht="31.5" hidden="false" customHeight="true" outlineLevel="0" collapsed="false">
      <c r="G51" s="116" t="s">
        <v>48</v>
      </c>
      <c r="H51" s="39" t="n">
        <f aca="false">G40</f>
        <v>2.4</v>
      </c>
      <c r="I51" s="117" t="n">
        <f aca="false">H40</f>
        <v>4.32</v>
      </c>
      <c r="J51" s="41"/>
    </row>
    <row r="52" customFormat="false" ht="16.15" hidden="false" customHeight="false" outlineLevel="0" collapsed="false">
      <c r="G52" s="116" t="s">
        <v>95</v>
      </c>
      <c r="H52" s="39" t="n">
        <f aca="false">G41</f>
        <v>2.4</v>
      </c>
      <c r="I52" s="117" t="n">
        <f aca="false">H41</f>
        <v>1.296</v>
      </c>
      <c r="J52" s="41"/>
    </row>
    <row r="53" customFormat="false" ht="16.15" hidden="false" customHeight="false" outlineLevel="0" collapsed="false">
      <c r="G53" s="116" t="s">
        <v>50</v>
      </c>
      <c r="H53" s="39" t="n">
        <f aca="false">SUMIF(C11:C42,"TVC",G11:G42)</f>
        <v>4.72727272727273</v>
      </c>
      <c r="I53" s="40" t="n">
        <f aca="false">SUMIF(C11:C42,"TVC",H11:H42)</f>
        <v>6.80727272727273</v>
      </c>
      <c r="J53" s="41"/>
    </row>
    <row r="54" customFormat="false" ht="16.15" hidden="false" customHeight="false" outlineLevel="0" collapsed="false">
      <c r="G54" s="116" t="s">
        <v>51</v>
      </c>
      <c r="H54" s="118" t="n">
        <f aca="false">SUMIF(C11:C42,"TV",G11:G42)</f>
        <v>22.1818181818182</v>
      </c>
      <c r="I54" s="40" t="n">
        <f aca="false">SUMIF(C11:C42,"TV",H11:H42)</f>
        <v>15.9709090909091</v>
      </c>
      <c r="J54" s="41"/>
    </row>
    <row r="55" customFormat="false" ht="29.85" hidden="false" customHeight="false" outlineLevel="0" collapsed="false">
      <c r="G55" s="116" t="s">
        <v>96</v>
      </c>
      <c r="H55" s="39" t="n">
        <f aca="false">SUMIF(C11:C42,"KTV, NVHT",G11:G42)</f>
        <v>0</v>
      </c>
      <c r="I55" s="40" t="n">
        <f aca="false">SUMIF(C11:C42,"KTV, NVHT",H11:H42)</f>
        <v>0</v>
      </c>
      <c r="J55" s="41"/>
    </row>
    <row r="56" customFormat="false" ht="16.15" hidden="false" customHeight="false" outlineLevel="0" collapsed="false">
      <c r="G56" s="119"/>
      <c r="H56" s="43" t="n">
        <f aca="false">SUM(H51:H55)</f>
        <v>31.7090909090909</v>
      </c>
      <c r="I56" s="120" t="n">
        <f aca="false">I51+I52+I53+I54+I55</f>
        <v>28.3941818181818</v>
      </c>
      <c r="J56" s="44"/>
    </row>
    <row r="57" customFormat="false" ht="14.25" hidden="false" customHeight="false" outlineLevel="0" collapsed="false">
      <c r="I57" s="48"/>
      <c r="J57" s="47"/>
    </row>
    <row r="58" customFormat="false" ht="14.25" hidden="false" customHeight="false" outlineLevel="0" collapsed="false">
      <c r="I58" s="48"/>
      <c r="J58" s="47"/>
    </row>
    <row r="59" customFormat="false" ht="14.25" hidden="false" customHeight="false" outlineLevel="0" collapsed="false">
      <c r="I59" s="48"/>
      <c r="J59" s="47"/>
    </row>
    <row r="60" customFormat="false" ht="14.25" hidden="false" customHeight="false" outlineLevel="0" collapsed="false">
      <c r="H60" s="121"/>
      <c r="I60" s="122"/>
      <c r="J60" s="47"/>
    </row>
    <row r="61" customFormat="false" ht="14.25" hidden="false" customHeight="false" outlineLevel="0" collapsed="false">
      <c r="H61" s="121"/>
    </row>
  </sheetData>
  <mergeCells count="24">
    <mergeCell ref="A1:J1"/>
    <mergeCell ref="A3:A5"/>
    <mergeCell ref="B3:B5"/>
    <mergeCell ref="C3:C5"/>
    <mergeCell ref="D3:D5"/>
    <mergeCell ref="E3:E5"/>
    <mergeCell ref="F3:F5"/>
    <mergeCell ref="G3:G5"/>
    <mergeCell ref="H3:H5"/>
    <mergeCell ref="I3:J3"/>
    <mergeCell ref="I4:J4"/>
    <mergeCell ref="C7:H7"/>
    <mergeCell ref="A10:A12"/>
    <mergeCell ref="A13:A16"/>
    <mergeCell ref="A18:A22"/>
    <mergeCell ref="A23:A26"/>
    <mergeCell ref="A28:A31"/>
    <mergeCell ref="A32:A35"/>
    <mergeCell ref="A36:A39"/>
    <mergeCell ref="C42:H42"/>
    <mergeCell ref="G44:J48"/>
    <mergeCell ref="G49:G50"/>
    <mergeCell ref="H49:H50"/>
    <mergeCell ref="I49:J4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6"/>
  <sheetViews>
    <sheetView showFormulas="false" showGridLines="true" showRowColHeaders="true" showZeros="true" rightToLeft="false" tabSelected="false" showOutlineSymbols="true" defaultGridColor="true" view="normal" topLeftCell="A1" colorId="64" zoomScale="101" zoomScaleNormal="101" zoomScalePageLayoutView="100" workbookViewId="0">
      <selection pane="topLeft" activeCell="I11" activeCellId="0" sqref="I11"/>
    </sheetView>
  </sheetViews>
  <sheetFormatPr defaultColWidth="8.66796875" defaultRowHeight="13.5" customHeight="false" zeroHeight="false" outlineLevelRow="0" outlineLevelCol="0"/>
  <cols>
    <col collapsed="false" customWidth="true" hidden="false" outlineLevel="0" max="2" min="2" style="1" width="46.84"/>
    <col collapsed="false" customWidth="true" hidden="false" outlineLevel="0" max="3" min="3" style="123" width="11.16"/>
    <col collapsed="false" customWidth="true" hidden="false" outlineLevel="0" max="5" min="5" style="1" width="9.34"/>
    <col collapsed="false" customWidth="true" hidden="false" outlineLevel="0" max="6" min="6" style="1" width="11.33"/>
    <col collapsed="false" customWidth="true" hidden="false" outlineLevel="0" max="7" min="7" style="1" width="12.17"/>
    <col collapsed="false" customWidth="true" hidden="false" outlineLevel="0" max="8" min="8" style="1" width="10.33"/>
    <col collapsed="false" customWidth="true" hidden="false" outlineLevel="0" max="9" min="9" style="1" width="11.33"/>
    <col collapsed="false" customWidth="true" hidden="false" outlineLevel="0" max="10" min="10" style="1" width="10.33"/>
    <col collapsed="false" customWidth="true" hidden="false" outlineLevel="0" max="11" min="11" style="1" width="10.16"/>
    <col collapsed="false" customWidth="true" hidden="false" outlineLevel="0" max="12" min="12" style="1" width="10.5"/>
  </cols>
  <sheetData>
    <row r="1" customFormat="false" ht="17.25" hidden="false" customHeight="false" outlineLevel="0" collapsed="false">
      <c r="A1" s="32" t="s">
        <v>97</v>
      </c>
      <c r="B1" s="32"/>
    </row>
    <row r="3" customFormat="false" ht="13.5" hidden="false" customHeight="true" outlineLevel="0" collapsed="false">
      <c r="A3" s="124" t="s">
        <v>19</v>
      </c>
      <c r="B3" s="124" t="s">
        <v>2</v>
      </c>
      <c r="C3" s="124" t="s">
        <v>98</v>
      </c>
      <c r="D3" s="124" t="s">
        <v>99</v>
      </c>
      <c r="E3" s="124" t="s">
        <v>100</v>
      </c>
      <c r="F3" s="124" t="s">
        <v>101</v>
      </c>
      <c r="G3" s="124" t="s">
        <v>22</v>
      </c>
      <c r="H3" s="124"/>
      <c r="I3" s="124"/>
      <c r="J3" s="124"/>
      <c r="K3" s="124"/>
      <c r="L3" s="124"/>
      <c r="M3" s="124"/>
      <c r="N3" s="124"/>
    </row>
    <row r="4" customFormat="false" ht="42" hidden="false" customHeight="true" outlineLevel="0" collapsed="false">
      <c r="A4" s="124"/>
      <c r="B4" s="124"/>
      <c r="C4" s="124"/>
      <c r="D4" s="124"/>
      <c r="E4" s="124"/>
      <c r="F4" s="124"/>
      <c r="G4" s="124" t="s">
        <v>23</v>
      </c>
      <c r="H4" s="124"/>
      <c r="I4" s="124"/>
      <c r="J4" s="124"/>
      <c r="K4" s="124"/>
      <c r="L4" s="124"/>
      <c r="M4" s="124" t="s">
        <v>24</v>
      </c>
      <c r="N4" s="124" t="s">
        <v>25</v>
      </c>
    </row>
    <row r="5" customFormat="false" ht="76.5" hidden="false" customHeight="true" outlineLevel="0" collapsed="false">
      <c r="A5" s="125"/>
      <c r="B5" s="125"/>
      <c r="C5" s="125"/>
      <c r="D5" s="125"/>
      <c r="E5" s="125"/>
      <c r="F5" s="125"/>
      <c r="G5" s="126" t="s">
        <v>26</v>
      </c>
      <c r="H5" s="127" t="s">
        <v>27</v>
      </c>
      <c r="I5" s="126" t="s">
        <v>28</v>
      </c>
      <c r="J5" s="127" t="s">
        <v>27</v>
      </c>
      <c r="K5" s="126" t="s">
        <v>29</v>
      </c>
      <c r="L5" s="127" t="s">
        <v>30</v>
      </c>
      <c r="M5" s="125"/>
      <c r="N5" s="125"/>
    </row>
    <row r="6" customFormat="false" ht="13.5" hidden="false" customHeight="false" outlineLevel="0" collapsed="false">
      <c r="A6" s="127" t="n">
        <v>1</v>
      </c>
      <c r="B6" s="127" t="n">
        <v>2</v>
      </c>
      <c r="C6" s="127" t="n">
        <v>3</v>
      </c>
      <c r="D6" s="127" t="n">
        <v>4</v>
      </c>
      <c r="E6" s="127" t="n">
        <v>5</v>
      </c>
      <c r="F6" s="127" t="n">
        <v>6</v>
      </c>
      <c r="G6" s="127" t="n">
        <v>7</v>
      </c>
      <c r="H6" s="127" t="n">
        <v>8</v>
      </c>
      <c r="I6" s="127" t="n">
        <v>9</v>
      </c>
      <c r="J6" s="127" t="n">
        <v>10</v>
      </c>
      <c r="K6" s="127" t="n">
        <v>11</v>
      </c>
      <c r="L6" s="127" t="n">
        <v>12</v>
      </c>
      <c r="M6" s="127" t="n">
        <v>15</v>
      </c>
      <c r="N6" s="127" t="n">
        <v>16</v>
      </c>
    </row>
    <row r="7" customFormat="false" ht="15" hidden="false" customHeight="false" outlineLevel="0" collapsed="false">
      <c r="A7" s="128" t="n">
        <v>1</v>
      </c>
      <c r="B7" s="129" t="s">
        <v>102</v>
      </c>
      <c r="C7" s="125"/>
      <c r="D7" s="125"/>
      <c r="E7" s="125"/>
      <c r="F7" s="130"/>
      <c r="G7" s="130"/>
      <c r="H7" s="131"/>
      <c r="I7" s="131"/>
      <c r="J7" s="131"/>
      <c r="K7" s="130"/>
      <c r="L7" s="130"/>
      <c r="M7" s="132"/>
      <c r="N7" s="132"/>
    </row>
    <row r="8" customFormat="false" ht="15" hidden="false" customHeight="false" outlineLevel="0" collapsed="false">
      <c r="A8" s="128" t="s">
        <v>67</v>
      </c>
      <c r="B8" s="129" t="s">
        <v>103</v>
      </c>
      <c r="C8" s="5"/>
      <c r="D8" s="133"/>
      <c r="E8" s="125"/>
      <c r="F8" s="130"/>
      <c r="G8" s="130"/>
      <c r="H8" s="131"/>
      <c r="I8" s="131"/>
      <c r="J8" s="131"/>
      <c r="K8" s="22"/>
      <c r="L8" s="22"/>
      <c r="M8" s="22"/>
      <c r="N8" s="22"/>
    </row>
    <row r="9" customFormat="false" ht="15" hidden="false" customHeight="false" outlineLevel="0" collapsed="false">
      <c r="A9" s="128" t="s">
        <v>104</v>
      </c>
      <c r="B9" s="129" t="s">
        <v>105</v>
      </c>
      <c r="C9" s="125"/>
      <c r="D9" s="125"/>
      <c r="E9" s="125"/>
      <c r="F9" s="125"/>
      <c r="G9" s="125"/>
      <c r="H9" s="125"/>
      <c r="I9" s="125"/>
      <c r="J9" s="125"/>
      <c r="K9" s="125"/>
      <c r="L9" s="125"/>
      <c r="M9" s="125"/>
      <c r="N9" s="125"/>
    </row>
    <row r="10" customFormat="false" ht="15" hidden="false" customHeight="false" outlineLevel="0" collapsed="false">
      <c r="A10" s="125"/>
      <c r="B10" s="134" t="s">
        <v>106</v>
      </c>
      <c r="C10" s="125"/>
      <c r="D10" s="125"/>
      <c r="E10" s="125"/>
      <c r="F10" s="125"/>
      <c r="G10" s="125"/>
      <c r="H10" s="125"/>
      <c r="I10" s="125"/>
      <c r="J10" s="125"/>
      <c r="K10" s="125"/>
      <c r="L10" s="125"/>
      <c r="M10" s="125"/>
      <c r="N10" s="125"/>
    </row>
    <row r="11" customFormat="false" ht="15" hidden="false" customHeight="false" outlineLevel="0" collapsed="false">
      <c r="A11" s="125"/>
      <c r="B11" s="134" t="s">
        <v>107</v>
      </c>
      <c r="C11" s="125" t="s">
        <v>108</v>
      </c>
      <c r="D11" s="125"/>
      <c r="E11" s="125"/>
      <c r="F11" s="125"/>
      <c r="G11" s="125"/>
      <c r="H11" s="125"/>
      <c r="I11" s="125"/>
      <c r="J11" s="125"/>
      <c r="K11" s="125"/>
      <c r="L11" s="125"/>
      <c r="M11" s="125"/>
      <c r="N11" s="125"/>
    </row>
    <row r="12" customFormat="false" ht="15" hidden="false" customHeight="false" outlineLevel="0" collapsed="false">
      <c r="A12" s="125"/>
      <c r="B12" s="134" t="s">
        <v>109</v>
      </c>
      <c r="C12" s="125"/>
      <c r="D12" s="125"/>
      <c r="E12" s="125"/>
      <c r="F12" s="125"/>
      <c r="G12" s="125"/>
      <c r="H12" s="125"/>
      <c r="I12" s="125"/>
      <c r="J12" s="125"/>
      <c r="K12" s="125"/>
      <c r="L12" s="125"/>
      <c r="M12" s="125"/>
      <c r="N12" s="125"/>
    </row>
    <row r="13" customFormat="false" ht="15" hidden="false" customHeight="false" outlineLevel="0" collapsed="false">
      <c r="A13" s="125"/>
      <c r="B13" s="134" t="s">
        <v>110</v>
      </c>
      <c r="C13" s="125"/>
      <c r="D13" s="125"/>
      <c r="E13" s="125"/>
      <c r="F13" s="132"/>
      <c r="G13" s="132"/>
      <c r="H13" s="132"/>
      <c r="I13" s="132"/>
      <c r="J13" s="132"/>
      <c r="K13" s="132"/>
      <c r="L13" s="132"/>
      <c r="M13" s="132"/>
      <c r="N13" s="132"/>
    </row>
    <row r="14" customFormat="false" ht="15" hidden="false" customHeight="false" outlineLevel="0" collapsed="false">
      <c r="A14" s="128" t="s">
        <v>111</v>
      </c>
      <c r="B14" s="129" t="s">
        <v>112</v>
      </c>
      <c r="C14" s="125" t="s">
        <v>113</v>
      </c>
      <c r="D14" s="125"/>
      <c r="E14" s="125"/>
      <c r="F14" s="125"/>
      <c r="G14" s="125"/>
      <c r="H14" s="125"/>
      <c r="I14" s="125"/>
      <c r="J14" s="125"/>
      <c r="K14" s="125"/>
      <c r="L14" s="125"/>
      <c r="M14" s="125"/>
      <c r="N14" s="125"/>
    </row>
    <row r="15" customFormat="false" ht="15" hidden="false" customHeight="false" outlineLevel="0" collapsed="false">
      <c r="A15" s="125"/>
      <c r="B15" s="134"/>
      <c r="C15" s="125"/>
      <c r="D15" s="125"/>
      <c r="E15" s="125"/>
      <c r="F15" s="125"/>
      <c r="G15" s="125"/>
      <c r="H15" s="125"/>
      <c r="I15" s="125"/>
      <c r="J15" s="125"/>
      <c r="K15" s="125"/>
      <c r="L15" s="125"/>
      <c r="M15" s="125"/>
      <c r="N15" s="125"/>
      <c r="S15" s="135"/>
    </row>
    <row r="16" customFormat="false" ht="15" hidden="false" customHeight="true" outlineLevel="0" collapsed="false">
      <c r="A16" s="125"/>
      <c r="B16" s="136" t="s">
        <v>53</v>
      </c>
      <c r="C16" s="136"/>
      <c r="D16" s="136"/>
      <c r="E16" s="136"/>
      <c r="F16" s="137"/>
      <c r="G16" s="137"/>
      <c r="H16" s="137"/>
      <c r="I16" s="137"/>
      <c r="J16" s="137"/>
      <c r="K16" s="136"/>
      <c r="L16" s="136"/>
      <c r="M16" s="125"/>
      <c r="N16" s="125"/>
    </row>
  </sheetData>
  <mergeCells count="10">
    <mergeCell ref="A1:B1"/>
    <mergeCell ref="A3:A4"/>
    <mergeCell ref="B3:B4"/>
    <mergeCell ref="C3:C4"/>
    <mergeCell ref="D3:D4"/>
    <mergeCell ref="E3:E4"/>
    <mergeCell ref="F3:F4"/>
    <mergeCell ref="G3:N3"/>
    <mergeCell ref="G4:L4"/>
    <mergeCell ref="B16:E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4"/>
  <sheetViews>
    <sheetView showFormulas="false" showGridLines="true" showRowColHeaders="true" showZeros="true" rightToLeft="false" tabSelected="false" showOutlineSymbols="true" defaultGridColor="true" view="normal" topLeftCell="A2" colorId="64" zoomScale="101" zoomScaleNormal="101" zoomScalePageLayoutView="100" workbookViewId="0">
      <selection pane="topLeft" activeCell="A1" activeCellId="0" sqref="A1"/>
    </sheetView>
  </sheetViews>
  <sheetFormatPr defaultColWidth="8.83984375" defaultRowHeight="13.5" customHeight="false" zeroHeight="false" outlineLevelRow="0" outlineLevelCol="0"/>
  <sheetData>
    <row r="1" customFormat="false" ht="15" hidden="false" customHeight="true" outlineLevel="0" collapsed="false">
      <c r="A1" s="124" t="s">
        <v>19</v>
      </c>
      <c r="B1" s="124"/>
      <c r="C1" s="125"/>
      <c r="D1" s="127" t="n">
        <v>1</v>
      </c>
      <c r="E1" s="128" t="n">
        <v>1</v>
      </c>
      <c r="F1" s="128" t="n">
        <v>2</v>
      </c>
      <c r="G1" s="125"/>
      <c r="H1" s="125"/>
      <c r="I1" s="125"/>
      <c r="J1" s="125"/>
      <c r="K1" s="125"/>
      <c r="L1" s="125"/>
      <c r="M1" s="125"/>
      <c r="N1" s="125"/>
      <c r="O1" s="125"/>
      <c r="P1" s="125"/>
      <c r="Q1" s="125"/>
      <c r="R1" s="125"/>
      <c r="S1" s="125"/>
      <c r="T1" s="125"/>
      <c r="U1" s="125"/>
      <c r="V1" s="125"/>
      <c r="W1" s="125"/>
      <c r="X1" s="125"/>
      <c r="Y1" s="125"/>
      <c r="Z1" s="125"/>
      <c r="AA1" s="22"/>
      <c r="AB1" s="22"/>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row>
    <row r="2" customFormat="false" ht="331.3" hidden="false" customHeight="true" outlineLevel="0" collapsed="false">
      <c r="A2" s="124" t="s">
        <v>2</v>
      </c>
      <c r="B2" s="124"/>
      <c r="C2" s="125"/>
      <c r="D2" s="127" t="n">
        <v>2</v>
      </c>
      <c r="E2" s="138" t="s">
        <v>114</v>
      </c>
      <c r="F2" s="139" t="s">
        <v>115</v>
      </c>
      <c r="G2" s="140" t="s">
        <v>116</v>
      </c>
      <c r="H2" s="140" t="s">
        <v>117</v>
      </c>
      <c r="I2" s="140" t="s">
        <v>118</v>
      </c>
      <c r="J2" s="140" t="s">
        <v>119</v>
      </c>
      <c r="K2" s="140" t="s">
        <v>120</v>
      </c>
      <c r="L2" s="140" t="s">
        <v>121</v>
      </c>
      <c r="M2" s="141" t="s">
        <v>122</v>
      </c>
      <c r="N2" s="142" t="s">
        <v>123</v>
      </c>
      <c r="O2" s="143" t="s">
        <v>124</v>
      </c>
      <c r="P2" s="143" t="s">
        <v>125</v>
      </c>
      <c r="Q2" s="143" t="s">
        <v>126</v>
      </c>
      <c r="R2" s="143" t="s">
        <v>127</v>
      </c>
      <c r="S2" s="143" t="s">
        <v>128</v>
      </c>
      <c r="T2" s="143" t="s">
        <v>129</v>
      </c>
      <c r="U2" s="144" t="s">
        <v>130</v>
      </c>
      <c r="V2" s="144" t="s">
        <v>131</v>
      </c>
      <c r="W2" s="143" t="s">
        <v>132</v>
      </c>
      <c r="X2" s="143" t="s">
        <v>133</v>
      </c>
      <c r="Y2" s="143" t="s">
        <v>134</v>
      </c>
      <c r="Z2" s="143" t="s">
        <v>135</v>
      </c>
      <c r="AA2" s="145" t="s">
        <v>136</v>
      </c>
      <c r="AB2" s="145" t="s">
        <v>137</v>
      </c>
      <c r="AC2" s="146" t="s">
        <v>138</v>
      </c>
      <c r="AD2" s="146" t="s">
        <v>139</v>
      </c>
      <c r="AE2" s="146" t="s">
        <v>140</v>
      </c>
      <c r="AF2" s="146" t="s">
        <v>141</v>
      </c>
      <c r="AG2" s="146" t="s">
        <v>142</v>
      </c>
      <c r="AH2" s="143" t="s">
        <v>143</v>
      </c>
      <c r="AI2" s="146" t="s">
        <v>144</v>
      </c>
      <c r="AJ2" s="146" t="s">
        <v>145</v>
      </c>
      <c r="AK2" s="146" t="s">
        <v>146</v>
      </c>
      <c r="AL2" s="146" t="s">
        <v>147</v>
      </c>
      <c r="AM2" s="147" t="s">
        <v>148</v>
      </c>
      <c r="AN2" s="146" t="s">
        <v>149</v>
      </c>
      <c r="AO2" s="146" t="s">
        <v>150</v>
      </c>
      <c r="AP2" s="146" t="s">
        <v>151</v>
      </c>
      <c r="AQ2" s="146" t="s">
        <v>152</v>
      </c>
      <c r="AR2" s="146" t="s">
        <v>153</v>
      </c>
      <c r="AS2" s="143" t="s">
        <v>154</v>
      </c>
      <c r="AT2" s="146" t="s">
        <v>155</v>
      </c>
      <c r="AU2" s="146" t="s">
        <v>156</v>
      </c>
      <c r="AV2" s="146" t="s">
        <v>157</v>
      </c>
      <c r="AW2" s="146" t="s">
        <v>158</v>
      </c>
      <c r="AX2" s="146" t="s">
        <v>159</v>
      </c>
      <c r="AY2" s="140" t="s">
        <v>160</v>
      </c>
      <c r="AZ2" s="140" t="s">
        <v>161</v>
      </c>
      <c r="BA2" s="140" t="s">
        <v>162</v>
      </c>
      <c r="BB2" s="140" t="s">
        <v>163</v>
      </c>
      <c r="BC2" s="140" t="s">
        <v>164</v>
      </c>
    </row>
    <row r="3" customFormat="false" ht="15" hidden="false" customHeight="true" outlineLevel="0" collapsed="false">
      <c r="A3" s="124" t="s">
        <v>98</v>
      </c>
      <c r="B3" s="124"/>
      <c r="C3" s="125"/>
      <c r="D3" s="127" t="n">
        <v>3</v>
      </c>
      <c r="E3" s="125"/>
      <c r="F3" s="140"/>
      <c r="G3" s="125" t="s">
        <v>165</v>
      </c>
      <c r="H3" s="125" t="s">
        <v>166</v>
      </c>
      <c r="I3" s="125" t="s">
        <v>167</v>
      </c>
      <c r="J3" s="125" t="s">
        <v>167</v>
      </c>
      <c r="K3" s="125" t="s">
        <v>167</v>
      </c>
      <c r="L3" s="125" t="s">
        <v>167</v>
      </c>
      <c r="M3" s="140"/>
      <c r="N3" s="125"/>
      <c r="O3" s="148" t="s">
        <v>168</v>
      </c>
      <c r="P3" s="148" t="s">
        <v>169</v>
      </c>
      <c r="Q3" s="148" t="s">
        <v>169</v>
      </c>
      <c r="R3" s="148" t="s">
        <v>169</v>
      </c>
      <c r="S3" s="148" t="s">
        <v>168</v>
      </c>
      <c r="T3" s="148" t="s">
        <v>168</v>
      </c>
      <c r="U3" s="148" t="s">
        <v>168</v>
      </c>
      <c r="V3" s="148" t="s">
        <v>168</v>
      </c>
      <c r="W3" s="148" t="s">
        <v>168</v>
      </c>
      <c r="X3" s="148" t="s">
        <v>168</v>
      </c>
      <c r="Y3" s="148" t="s">
        <v>168</v>
      </c>
      <c r="Z3" s="148" t="s">
        <v>168</v>
      </c>
      <c r="AA3" s="22" t="s">
        <v>170</v>
      </c>
      <c r="AB3" s="22" t="s">
        <v>168</v>
      </c>
      <c r="AC3" s="148" t="s">
        <v>171</v>
      </c>
      <c r="AD3" s="148" t="s">
        <v>171</v>
      </c>
      <c r="AE3" s="148" t="s">
        <v>169</v>
      </c>
      <c r="AF3" s="148" t="s">
        <v>172</v>
      </c>
      <c r="AG3" s="148" t="s">
        <v>173</v>
      </c>
      <c r="AH3" s="148" t="s">
        <v>174</v>
      </c>
      <c r="AI3" s="148" t="s">
        <v>169</v>
      </c>
      <c r="AJ3" s="148" t="s">
        <v>171</v>
      </c>
      <c r="AK3" s="148" t="s">
        <v>171</v>
      </c>
      <c r="AL3" s="148" t="s">
        <v>175</v>
      </c>
      <c r="AM3" s="148" t="s">
        <v>171</v>
      </c>
      <c r="AN3" s="148" t="s">
        <v>176</v>
      </c>
      <c r="AO3" s="148" t="s">
        <v>176</v>
      </c>
      <c r="AP3" s="148" t="s">
        <v>177</v>
      </c>
      <c r="AQ3" s="148" t="s">
        <v>169</v>
      </c>
      <c r="AR3" s="148" t="s">
        <v>177</v>
      </c>
      <c r="AS3" s="148" t="s">
        <v>178</v>
      </c>
      <c r="AT3" s="148" t="s">
        <v>178</v>
      </c>
      <c r="AU3" s="148" t="s">
        <v>178</v>
      </c>
      <c r="AV3" s="148" t="s">
        <v>178</v>
      </c>
      <c r="AW3" s="148" t="s">
        <v>177</v>
      </c>
      <c r="AX3" s="148" t="s">
        <v>177</v>
      </c>
      <c r="AY3" s="125" t="s">
        <v>179</v>
      </c>
      <c r="AZ3" s="125" t="s">
        <v>179</v>
      </c>
      <c r="BA3" s="125" t="s">
        <v>180</v>
      </c>
      <c r="BB3" s="125" t="s">
        <v>177</v>
      </c>
      <c r="BC3" s="125" t="s">
        <v>177</v>
      </c>
    </row>
    <row r="4" customFormat="false" ht="15" hidden="false" customHeight="true" outlineLevel="0" collapsed="false">
      <c r="A4" s="124" t="s">
        <v>99</v>
      </c>
      <c r="B4" s="124"/>
      <c r="C4" s="125"/>
      <c r="D4" s="127" t="n">
        <v>4</v>
      </c>
      <c r="E4" s="125"/>
      <c r="F4" s="125"/>
      <c r="G4" s="125" t="n">
        <v>200</v>
      </c>
      <c r="H4" s="125" t="n">
        <v>2</v>
      </c>
      <c r="I4" s="125" t="n">
        <v>200</v>
      </c>
      <c r="J4" s="125" t="n">
        <v>200</v>
      </c>
      <c r="K4" s="125" t="n">
        <v>200</v>
      </c>
      <c r="L4" s="125" t="n">
        <v>200</v>
      </c>
      <c r="M4" s="125"/>
      <c r="N4" s="125"/>
      <c r="O4" s="149" t="n">
        <v>4</v>
      </c>
      <c r="P4" s="149" t="n">
        <v>3</v>
      </c>
      <c r="Q4" s="149" t="n">
        <v>3</v>
      </c>
      <c r="R4" s="149" t="n">
        <v>2</v>
      </c>
      <c r="S4" s="149" t="n">
        <v>2</v>
      </c>
      <c r="T4" s="149" t="n">
        <v>2</v>
      </c>
      <c r="U4" s="149" t="n">
        <v>2</v>
      </c>
      <c r="V4" s="149" t="n">
        <v>5</v>
      </c>
      <c r="W4" s="125" t="n">
        <v>2</v>
      </c>
      <c r="X4" s="125" t="n">
        <v>4</v>
      </c>
      <c r="Y4" s="125" t="n">
        <v>2</v>
      </c>
      <c r="Z4" s="125" t="n">
        <v>4</v>
      </c>
      <c r="AA4" s="22" t="n">
        <f aca="false">12*23</f>
        <v>276</v>
      </c>
      <c r="AB4" s="22" t="n">
        <v>1</v>
      </c>
      <c r="AC4" s="150" t="n">
        <v>10</v>
      </c>
      <c r="AD4" s="150" t="n">
        <v>10</v>
      </c>
      <c r="AE4" s="150" t="n">
        <v>3</v>
      </c>
      <c r="AF4" s="150" t="n">
        <v>2</v>
      </c>
      <c r="AG4" s="150" t="n">
        <v>2</v>
      </c>
      <c r="AH4" s="150" t="n">
        <v>2</v>
      </c>
      <c r="AI4" s="150" t="n">
        <v>2</v>
      </c>
      <c r="AJ4" s="150" t="n">
        <v>2</v>
      </c>
      <c r="AK4" s="150" t="n">
        <v>2</v>
      </c>
      <c r="AL4" s="150" t="n">
        <v>2</v>
      </c>
      <c r="AM4" s="150" t="n">
        <v>2</v>
      </c>
      <c r="AN4" s="150" t="n">
        <v>2</v>
      </c>
      <c r="AO4" s="150" t="n">
        <v>2</v>
      </c>
      <c r="AP4" s="150" t="n">
        <v>15</v>
      </c>
      <c r="AQ4" s="150" t="n">
        <v>2</v>
      </c>
      <c r="AR4" s="150" t="n">
        <v>30</v>
      </c>
      <c r="AS4" s="150" t="n">
        <v>50</v>
      </c>
      <c r="AT4" s="150" t="n">
        <v>50</v>
      </c>
      <c r="AU4" s="150" t="n">
        <v>30</v>
      </c>
      <c r="AV4" s="150" t="n">
        <v>30</v>
      </c>
      <c r="AW4" s="150" t="n">
        <v>50</v>
      </c>
      <c r="AX4" s="150" t="n">
        <v>10</v>
      </c>
      <c r="AY4" s="125" t="n">
        <v>15</v>
      </c>
      <c r="AZ4" s="125" t="n">
        <v>15</v>
      </c>
      <c r="BA4" s="125" t="n">
        <v>2</v>
      </c>
      <c r="BB4" s="125" t="n">
        <v>5</v>
      </c>
      <c r="BC4" s="125" t="n">
        <v>2</v>
      </c>
    </row>
    <row r="5" customFormat="false" ht="37.3" hidden="false" customHeight="true" outlineLevel="0" collapsed="false">
      <c r="A5" s="124" t="s">
        <v>100</v>
      </c>
      <c r="B5" s="124"/>
      <c r="C5" s="125"/>
      <c r="D5" s="127" t="n">
        <v>5</v>
      </c>
      <c r="E5" s="125"/>
      <c r="F5" s="140"/>
      <c r="G5" s="125" t="n">
        <v>0.1</v>
      </c>
      <c r="H5" s="125" t="n">
        <v>0.5</v>
      </c>
      <c r="I5" s="125" t="n">
        <v>0.4</v>
      </c>
      <c r="J5" s="125" t="n">
        <v>0.08</v>
      </c>
      <c r="K5" s="125" t="n">
        <v>0.05</v>
      </c>
      <c r="L5" s="125" t="n">
        <v>0.08</v>
      </c>
      <c r="M5" s="125"/>
      <c r="N5" s="125"/>
      <c r="O5" s="125" t="n">
        <v>6.14</v>
      </c>
      <c r="P5" s="125" t="n">
        <v>2.7</v>
      </c>
      <c r="Q5" s="125" t="n">
        <v>3.2</v>
      </c>
      <c r="R5" s="125" t="n">
        <v>2.8</v>
      </c>
      <c r="S5" s="125" t="n">
        <v>4.2</v>
      </c>
      <c r="T5" s="125" t="n">
        <v>3.42</v>
      </c>
      <c r="U5" s="125" t="n">
        <v>6.79</v>
      </c>
      <c r="V5" s="125" t="n">
        <v>4.64</v>
      </c>
      <c r="W5" s="125" t="n">
        <v>14</v>
      </c>
      <c r="X5" s="125" t="n">
        <v>16</v>
      </c>
      <c r="Y5" s="125" t="n">
        <v>12.8</v>
      </c>
      <c r="Z5" s="125" t="n">
        <v>16</v>
      </c>
      <c r="AA5" s="22" t="n">
        <v>0.5</v>
      </c>
      <c r="AB5" s="22" t="n">
        <v>25</v>
      </c>
      <c r="AC5" s="125" t="n">
        <v>0.65</v>
      </c>
      <c r="AD5" s="125" t="n">
        <v>0.132</v>
      </c>
      <c r="AE5" s="125" t="n">
        <v>3.7</v>
      </c>
      <c r="AF5" s="125" t="n">
        <v>3.6</v>
      </c>
      <c r="AG5" s="125" t="n">
        <v>1.16</v>
      </c>
      <c r="AH5" s="125" t="n">
        <v>0.6</v>
      </c>
      <c r="AI5" s="125" t="n">
        <v>0.43</v>
      </c>
      <c r="AJ5" s="125" t="n">
        <v>6.7</v>
      </c>
      <c r="AK5" s="125" t="n">
        <v>2.6</v>
      </c>
      <c r="AL5" s="125" t="n">
        <v>1.6</v>
      </c>
      <c r="AM5" s="125" t="n">
        <v>2.3</v>
      </c>
      <c r="AN5" s="125" t="n">
        <v>1.1</v>
      </c>
      <c r="AO5" s="125" t="n">
        <v>1.65</v>
      </c>
      <c r="AP5" s="125" t="n">
        <v>0.075</v>
      </c>
      <c r="AQ5" s="125" t="n">
        <v>0.9</v>
      </c>
      <c r="AR5" s="125" t="n">
        <v>2.98</v>
      </c>
      <c r="AS5" s="125" t="n">
        <v>0.3</v>
      </c>
      <c r="AT5" s="125" t="n">
        <v>0.2</v>
      </c>
      <c r="AU5" s="125" t="n">
        <v>0.46</v>
      </c>
      <c r="AV5" s="125" t="n">
        <v>0.235</v>
      </c>
      <c r="AW5" s="125" t="n">
        <v>0.62</v>
      </c>
      <c r="AX5" s="125" t="n">
        <v>1.2</v>
      </c>
      <c r="AY5" s="125" t="n">
        <v>0.35</v>
      </c>
      <c r="AZ5" s="125" t="n">
        <v>0.3</v>
      </c>
      <c r="BA5" s="125" t="n">
        <v>1.1</v>
      </c>
      <c r="BB5" s="125" t="n">
        <v>1.9</v>
      </c>
      <c r="BC5" s="125" t="n">
        <v>1.2</v>
      </c>
    </row>
    <row r="6" customFormat="false" ht="25.35" hidden="false" customHeight="true" outlineLevel="0" collapsed="false">
      <c r="A6" s="124" t="s">
        <v>101</v>
      </c>
      <c r="B6" s="124"/>
      <c r="C6" s="125"/>
      <c r="D6" s="127" t="n">
        <v>6</v>
      </c>
      <c r="E6" s="130" t="n">
        <f aca="false">SUM(F6:BC6)</f>
        <v>854.905</v>
      </c>
      <c r="F6" s="151"/>
      <c r="G6" s="125" t="n">
        <f aca="false">G4*G5</f>
        <v>20</v>
      </c>
      <c r="H6" s="125" t="n">
        <f aca="false">H4*H5</f>
        <v>1</v>
      </c>
      <c r="I6" s="125" t="n">
        <f aca="false">I4*I5</f>
        <v>80</v>
      </c>
      <c r="J6" s="125" t="n">
        <f aca="false">J4*J5</f>
        <v>16</v>
      </c>
      <c r="K6" s="125" t="n">
        <f aca="false">K4*K5</f>
        <v>10</v>
      </c>
      <c r="L6" s="125" t="n">
        <f aca="false">L4*L5</f>
        <v>16</v>
      </c>
      <c r="M6" s="125"/>
      <c r="N6" s="125"/>
      <c r="O6" s="125" t="n">
        <f aca="false">O4*O5</f>
        <v>24.56</v>
      </c>
      <c r="P6" s="125" t="n">
        <f aca="false">P4*P5</f>
        <v>8.1</v>
      </c>
      <c r="Q6" s="125" t="n">
        <f aca="false">Q4*Q5</f>
        <v>9.6</v>
      </c>
      <c r="R6" s="125" t="n">
        <f aca="false">R4*R5</f>
        <v>5.6</v>
      </c>
      <c r="S6" s="125" t="n">
        <f aca="false">S4*S5</f>
        <v>8.4</v>
      </c>
      <c r="T6" s="125" t="n">
        <f aca="false">T4*T5</f>
        <v>6.84</v>
      </c>
      <c r="U6" s="125" t="n">
        <f aca="false">U4*U5</f>
        <v>13.58</v>
      </c>
      <c r="V6" s="125" t="n">
        <f aca="false">V4*V5</f>
        <v>23.2</v>
      </c>
      <c r="W6" s="125" t="n">
        <f aca="false">W4*W5</f>
        <v>28</v>
      </c>
      <c r="X6" s="125" t="n">
        <f aca="false">X4*X5</f>
        <v>64</v>
      </c>
      <c r="Y6" s="125" t="n">
        <f aca="false">Y4*Y5</f>
        <v>25.6</v>
      </c>
      <c r="Z6" s="125" t="n">
        <f aca="false">Z4*Z5</f>
        <v>64</v>
      </c>
      <c r="AA6" s="22" t="n">
        <f aca="false">AA4*AA5</f>
        <v>138</v>
      </c>
      <c r="AB6" s="22" t="n">
        <f aca="false">AB4*AB5</f>
        <v>25</v>
      </c>
      <c r="AC6" s="125" t="n">
        <f aca="false">AC5*AC4</f>
        <v>6.5</v>
      </c>
      <c r="AD6" s="125" t="n">
        <f aca="false">AD5*AD4</f>
        <v>1.32</v>
      </c>
      <c r="AE6" s="125" t="n">
        <f aca="false">AE5*AE4</f>
        <v>11.1</v>
      </c>
      <c r="AF6" s="125" t="n">
        <f aca="false">AF5*AF4</f>
        <v>7.2</v>
      </c>
      <c r="AG6" s="125" t="n">
        <f aca="false">AG5*AG4</f>
        <v>2.32</v>
      </c>
      <c r="AH6" s="125" t="n">
        <f aca="false">AH5*AH4</f>
        <v>1.2</v>
      </c>
      <c r="AI6" s="125" t="n">
        <f aca="false">AI5*AI4</f>
        <v>0.86</v>
      </c>
      <c r="AJ6" s="125" t="n">
        <f aca="false">AJ5*AJ4</f>
        <v>13.4</v>
      </c>
      <c r="AK6" s="125" t="n">
        <f aca="false">AK5*AK4</f>
        <v>5.2</v>
      </c>
      <c r="AL6" s="125" t="n">
        <f aca="false">AL5*AL4</f>
        <v>3.2</v>
      </c>
      <c r="AM6" s="125" t="n">
        <f aca="false">AM5*AM4</f>
        <v>4.6</v>
      </c>
      <c r="AN6" s="125" t="n">
        <f aca="false">AN5*AN4</f>
        <v>2.2</v>
      </c>
      <c r="AO6" s="125" t="n">
        <f aca="false">AO5*AO4</f>
        <v>3.3</v>
      </c>
      <c r="AP6" s="125" t="n">
        <f aca="false">AP5*AP4</f>
        <v>1.125</v>
      </c>
      <c r="AQ6" s="125" t="n">
        <f aca="false">AQ5*AQ4</f>
        <v>1.8</v>
      </c>
      <c r="AR6" s="125" t="n">
        <f aca="false">AR5*AR4</f>
        <v>89.4</v>
      </c>
      <c r="AS6" s="125" t="n">
        <f aca="false">AS5*AS4</f>
        <v>15</v>
      </c>
      <c r="AT6" s="125" t="n">
        <f aca="false">AT5*AT4</f>
        <v>10</v>
      </c>
      <c r="AU6" s="125" t="n">
        <f aca="false">AU5*AU4</f>
        <v>13.8</v>
      </c>
      <c r="AV6" s="125" t="n">
        <f aca="false">AV5*AV4</f>
        <v>7.05</v>
      </c>
      <c r="AW6" s="125" t="n">
        <f aca="false">AW5*AW4</f>
        <v>31</v>
      </c>
      <c r="AX6" s="125" t="n">
        <f aca="false">AX5*AX4</f>
        <v>12</v>
      </c>
      <c r="AY6" s="125" t="n">
        <f aca="false">AY4*AY5</f>
        <v>5.25</v>
      </c>
      <c r="AZ6" s="125" t="n">
        <f aca="false">AZ4*AZ5</f>
        <v>4.5</v>
      </c>
      <c r="BA6" s="125" t="n">
        <f aca="false">BA4*BA5</f>
        <v>2.2</v>
      </c>
      <c r="BB6" s="125" t="n">
        <f aca="false">BB4*BB5</f>
        <v>9.5</v>
      </c>
      <c r="BC6" s="125" t="n">
        <f aca="false">BC4*BC5</f>
        <v>2.4</v>
      </c>
    </row>
    <row r="7" customFormat="false" ht="15" hidden="false" customHeight="true" outlineLevel="0" collapsed="false">
      <c r="A7" s="124" t="s">
        <v>22</v>
      </c>
      <c r="B7" s="124" t="s">
        <v>181</v>
      </c>
      <c r="C7" s="152" t="s">
        <v>26</v>
      </c>
      <c r="D7" s="127" t="n">
        <v>7</v>
      </c>
      <c r="E7" s="130" t="n">
        <f aca="false">SUM(F7:BC7)</f>
        <v>854.905</v>
      </c>
      <c r="F7" s="151"/>
      <c r="G7" s="125" t="n">
        <f aca="false">G6</f>
        <v>20</v>
      </c>
      <c r="H7" s="125" t="n">
        <f aca="false">H6</f>
        <v>1</v>
      </c>
      <c r="I7" s="125" t="n">
        <f aca="false">I6</f>
        <v>80</v>
      </c>
      <c r="J7" s="125" t="n">
        <f aca="false">J6</f>
        <v>16</v>
      </c>
      <c r="K7" s="125" t="n">
        <f aca="false">K6</f>
        <v>10</v>
      </c>
      <c r="L7" s="125" t="n">
        <f aca="false">L6</f>
        <v>16</v>
      </c>
      <c r="M7" s="125"/>
      <c r="N7" s="125"/>
      <c r="O7" s="125" t="n">
        <f aca="false">O6</f>
        <v>24.56</v>
      </c>
      <c r="P7" s="125" t="n">
        <f aca="false">P6</f>
        <v>8.1</v>
      </c>
      <c r="Q7" s="125" t="n">
        <f aca="false">Q6</f>
        <v>9.6</v>
      </c>
      <c r="R7" s="125" t="n">
        <f aca="false">R6</f>
        <v>5.6</v>
      </c>
      <c r="S7" s="125" t="n">
        <f aca="false">S6</f>
        <v>8.4</v>
      </c>
      <c r="T7" s="125" t="n">
        <f aca="false">T6</f>
        <v>6.84</v>
      </c>
      <c r="U7" s="125" t="n">
        <f aca="false">U6</f>
        <v>13.58</v>
      </c>
      <c r="V7" s="125" t="n">
        <f aca="false">V6</f>
        <v>23.2</v>
      </c>
      <c r="W7" s="125" t="n">
        <f aca="false">W6</f>
        <v>28</v>
      </c>
      <c r="X7" s="125" t="n">
        <f aca="false">X6</f>
        <v>64</v>
      </c>
      <c r="Y7" s="125" t="n">
        <f aca="false">Y6</f>
        <v>25.6</v>
      </c>
      <c r="Z7" s="125" t="n">
        <f aca="false">Z6</f>
        <v>64</v>
      </c>
      <c r="AA7" s="22" t="n">
        <f aca="false">AA6</f>
        <v>138</v>
      </c>
      <c r="AB7" s="22" t="n">
        <f aca="false">AB6</f>
        <v>25</v>
      </c>
      <c r="AC7" s="125" t="n">
        <f aca="false">AC6</f>
        <v>6.5</v>
      </c>
      <c r="AD7" s="125" t="n">
        <f aca="false">AD6</f>
        <v>1.32</v>
      </c>
      <c r="AE7" s="125" t="n">
        <f aca="false">AE6</f>
        <v>11.1</v>
      </c>
      <c r="AF7" s="125" t="n">
        <f aca="false">AF6</f>
        <v>7.2</v>
      </c>
      <c r="AG7" s="125" t="n">
        <f aca="false">AG6</f>
        <v>2.32</v>
      </c>
      <c r="AH7" s="125" t="n">
        <f aca="false">AH6</f>
        <v>1.2</v>
      </c>
      <c r="AI7" s="125" t="n">
        <f aca="false">AI6</f>
        <v>0.86</v>
      </c>
      <c r="AJ7" s="125" t="n">
        <f aca="false">AJ6</f>
        <v>13.4</v>
      </c>
      <c r="AK7" s="125" t="n">
        <f aca="false">AK6</f>
        <v>5.2</v>
      </c>
      <c r="AL7" s="125" t="n">
        <f aca="false">AL6</f>
        <v>3.2</v>
      </c>
      <c r="AM7" s="125" t="n">
        <f aca="false">AM6</f>
        <v>4.6</v>
      </c>
      <c r="AN7" s="125" t="n">
        <f aca="false">AN6</f>
        <v>2.2</v>
      </c>
      <c r="AO7" s="125" t="n">
        <f aca="false">AO6</f>
        <v>3.3</v>
      </c>
      <c r="AP7" s="125" t="n">
        <f aca="false">AP6</f>
        <v>1.125</v>
      </c>
      <c r="AQ7" s="125" t="n">
        <f aca="false">AQ6</f>
        <v>1.8</v>
      </c>
      <c r="AR7" s="125" t="n">
        <f aca="false">AR6</f>
        <v>89.4</v>
      </c>
      <c r="AS7" s="125" t="n">
        <f aca="false">AS6</f>
        <v>15</v>
      </c>
      <c r="AT7" s="125" t="n">
        <f aca="false">AT6</f>
        <v>10</v>
      </c>
      <c r="AU7" s="125" t="n">
        <f aca="false">AU6</f>
        <v>13.8</v>
      </c>
      <c r="AV7" s="125" t="n">
        <f aca="false">AV6</f>
        <v>7.05</v>
      </c>
      <c r="AW7" s="125" t="n">
        <f aca="false">AW6</f>
        <v>31</v>
      </c>
      <c r="AX7" s="125" t="n">
        <f aca="false">AX6</f>
        <v>12</v>
      </c>
      <c r="AY7" s="125" t="n">
        <f aca="false">AY6</f>
        <v>5.25</v>
      </c>
      <c r="AZ7" s="125" t="n">
        <f aca="false">AZ6</f>
        <v>4.5</v>
      </c>
      <c r="BA7" s="125" t="n">
        <f aca="false">BA6</f>
        <v>2.2</v>
      </c>
      <c r="BB7" s="125" t="n">
        <f aca="false">BB6</f>
        <v>9.5</v>
      </c>
      <c r="BC7" s="125" t="n">
        <f aca="false">BC6</f>
        <v>2.4</v>
      </c>
    </row>
    <row r="8" customFormat="false" ht="46.25" hidden="false" customHeight="false" outlineLevel="0" collapsed="false">
      <c r="A8" s="124"/>
      <c r="B8" s="124"/>
      <c r="C8" s="153" t="s">
        <v>27</v>
      </c>
      <c r="D8" s="127" t="n">
        <v>8</v>
      </c>
      <c r="E8" s="130" t="n">
        <f aca="false">SUM(F8:BC8)</f>
        <v>0</v>
      </c>
      <c r="F8" s="125"/>
      <c r="G8" s="125"/>
      <c r="H8" s="125"/>
      <c r="I8" s="125"/>
      <c r="J8" s="125"/>
      <c r="K8" s="125"/>
      <c r="L8" s="125"/>
      <c r="M8" s="125"/>
      <c r="N8" s="125"/>
      <c r="O8" s="125"/>
      <c r="P8" s="125"/>
      <c r="Q8" s="125"/>
      <c r="R8" s="125"/>
      <c r="S8" s="125"/>
      <c r="T8" s="125"/>
      <c r="U8" s="125"/>
      <c r="V8" s="125"/>
      <c r="W8" s="125"/>
      <c r="X8" s="125"/>
      <c r="Y8" s="125"/>
      <c r="Z8" s="125"/>
      <c r="AA8" s="22"/>
      <c r="AB8" s="22"/>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125"/>
      <c r="BB8" s="125"/>
      <c r="BC8" s="125"/>
    </row>
    <row r="9" customFormat="false" ht="15" hidden="false" customHeight="false" outlineLevel="0" collapsed="false">
      <c r="A9" s="124"/>
      <c r="B9" s="124"/>
      <c r="C9" s="152" t="s">
        <v>182</v>
      </c>
      <c r="D9" s="127" t="n">
        <v>9</v>
      </c>
      <c r="E9" s="130" t="n">
        <f aca="false">SUM(F9:BC9)</f>
        <v>854.905</v>
      </c>
      <c r="F9" s="125"/>
      <c r="G9" s="125" t="n">
        <f aca="false">G7</f>
        <v>20</v>
      </c>
      <c r="H9" s="125" t="n">
        <f aca="false">H7</f>
        <v>1</v>
      </c>
      <c r="I9" s="125" t="n">
        <f aca="false">I7</f>
        <v>80</v>
      </c>
      <c r="J9" s="125" t="n">
        <f aca="false">J7</f>
        <v>16</v>
      </c>
      <c r="K9" s="125" t="n">
        <f aca="false">K7</f>
        <v>10</v>
      </c>
      <c r="L9" s="125" t="n">
        <f aca="false">L7</f>
        <v>16</v>
      </c>
      <c r="M9" s="125"/>
      <c r="N9" s="125"/>
      <c r="O9" s="125" t="n">
        <f aca="false">O7</f>
        <v>24.56</v>
      </c>
      <c r="P9" s="125" t="n">
        <f aca="false">P7</f>
        <v>8.1</v>
      </c>
      <c r="Q9" s="125" t="n">
        <f aca="false">Q7</f>
        <v>9.6</v>
      </c>
      <c r="R9" s="125" t="n">
        <f aca="false">R7</f>
        <v>5.6</v>
      </c>
      <c r="S9" s="125" t="n">
        <f aca="false">S7</f>
        <v>8.4</v>
      </c>
      <c r="T9" s="125" t="n">
        <f aca="false">T7</f>
        <v>6.84</v>
      </c>
      <c r="U9" s="125" t="n">
        <f aca="false">U7</f>
        <v>13.58</v>
      </c>
      <c r="V9" s="125" t="n">
        <f aca="false">V7</f>
        <v>23.2</v>
      </c>
      <c r="W9" s="125" t="n">
        <f aca="false">W7</f>
        <v>28</v>
      </c>
      <c r="X9" s="125" t="n">
        <f aca="false">X7</f>
        <v>64</v>
      </c>
      <c r="Y9" s="125" t="n">
        <f aca="false">Y7</f>
        <v>25.6</v>
      </c>
      <c r="Z9" s="125" t="n">
        <f aca="false">Z7</f>
        <v>64</v>
      </c>
      <c r="AA9" s="125" t="n">
        <f aca="false">AA7</f>
        <v>138</v>
      </c>
      <c r="AB9" s="125" t="n">
        <f aca="false">AB7</f>
        <v>25</v>
      </c>
      <c r="AC9" s="125" t="n">
        <f aca="false">AC7</f>
        <v>6.5</v>
      </c>
      <c r="AD9" s="125" t="n">
        <f aca="false">AD7</f>
        <v>1.32</v>
      </c>
      <c r="AE9" s="125" t="n">
        <f aca="false">AE7</f>
        <v>11.1</v>
      </c>
      <c r="AF9" s="125" t="n">
        <f aca="false">AF7</f>
        <v>7.2</v>
      </c>
      <c r="AG9" s="125" t="n">
        <f aca="false">AG7</f>
        <v>2.32</v>
      </c>
      <c r="AH9" s="125" t="n">
        <f aca="false">AH7</f>
        <v>1.2</v>
      </c>
      <c r="AI9" s="125" t="n">
        <f aca="false">AI7</f>
        <v>0.86</v>
      </c>
      <c r="AJ9" s="125" t="n">
        <f aca="false">AJ7</f>
        <v>13.4</v>
      </c>
      <c r="AK9" s="125" t="n">
        <f aca="false">AK7</f>
        <v>5.2</v>
      </c>
      <c r="AL9" s="125" t="n">
        <f aca="false">AL7</f>
        <v>3.2</v>
      </c>
      <c r="AM9" s="125" t="n">
        <f aca="false">AM7</f>
        <v>4.6</v>
      </c>
      <c r="AN9" s="125" t="n">
        <f aca="false">AN7</f>
        <v>2.2</v>
      </c>
      <c r="AO9" s="125" t="n">
        <f aca="false">AO7</f>
        <v>3.3</v>
      </c>
      <c r="AP9" s="125" t="n">
        <f aca="false">AP7</f>
        <v>1.125</v>
      </c>
      <c r="AQ9" s="125" t="n">
        <f aca="false">AQ7</f>
        <v>1.8</v>
      </c>
      <c r="AR9" s="125" t="n">
        <f aca="false">AR7</f>
        <v>89.4</v>
      </c>
      <c r="AS9" s="125" t="n">
        <f aca="false">AS7</f>
        <v>15</v>
      </c>
      <c r="AT9" s="125" t="n">
        <f aca="false">AT7</f>
        <v>10</v>
      </c>
      <c r="AU9" s="125" t="n">
        <f aca="false">AU7</f>
        <v>13.8</v>
      </c>
      <c r="AV9" s="125" t="n">
        <f aca="false">AV7</f>
        <v>7.05</v>
      </c>
      <c r="AW9" s="125" t="n">
        <f aca="false">AW7</f>
        <v>31</v>
      </c>
      <c r="AX9" s="125" t="n">
        <f aca="false">AX7</f>
        <v>12</v>
      </c>
      <c r="AY9" s="125" t="n">
        <f aca="false">AY7</f>
        <v>5.25</v>
      </c>
      <c r="AZ9" s="125" t="n">
        <f aca="false">AZ7</f>
        <v>4.5</v>
      </c>
      <c r="BA9" s="125" t="n">
        <f aca="false">BA7</f>
        <v>2.2</v>
      </c>
      <c r="BB9" s="125" t="n">
        <f aca="false">BB7</f>
        <v>9.5</v>
      </c>
      <c r="BC9" s="125" t="n">
        <f aca="false">BC7</f>
        <v>2.4</v>
      </c>
    </row>
    <row r="10" customFormat="false" ht="46.25" hidden="false" customHeight="false" outlineLevel="0" collapsed="false">
      <c r="A10" s="124"/>
      <c r="B10" s="124"/>
      <c r="C10" s="153" t="s">
        <v>27</v>
      </c>
      <c r="D10" s="127" t="n">
        <v>10</v>
      </c>
      <c r="E10" s="130" t="n">
        <f aca="false">SUM(F10:BC10)</f>
        <v>0</v>
      </c>
      <c r="F10" s="125"/>
      <c r="G10" s="125"/>
      <c r="H10" s="125"/>
      <c r="I10" s="125"/>
      <c r="J10" s="125"/>
      <c r="K10" s="125"/>
      <c r="L10" s="125"/>
      <c r="M10" s="125"/>
      <c r="N10" s="125"/>
      <c r="O10" s="125"/>
      <c r="P10" s="125"/>
      <c r="Q10" s="125"/>
      <c r="R10" s="125"/>
      <c r="S10" s="125"/>
      <c r="T10" s="125"/>
      <c r="U10" s="125"/>
      <c r="V10" s="125"/>
      <c r="W10" s="125"/>
      <c r="X10" s="125"/>
      <c r="Y10" s="125"/>
      <c r="Z10" s="125"/>
      <c r="AA10" s="22"/>
      <c r="AB10" s="22"/>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row>
    <row r="11" customFormat="false" ht="15" hidden="false" customHeight="false" outlineLevel="0" collapsed="false">
      <c r="A11" s="124"/>
      <c r="B11" s="124"/>
      <c r="C11" s="152" t="s">
        <v>183</v>
      </c>
      <c r="D11" s="127" t="n">
        <v>11</v>
      </c>
      <c r="E11" s="130" t="n">
        <f aca="false">SUM(F11:BC11)</f>
        <v>0</v>
      </c>
      <c r="F11" s="125"/>
      <c r="G11" s="125"/>
      <c r="H11" s="125"/>
      <c r="I11" s="125"/>
      <c r="J11" s="125"/>
      <c r="K11" s="125"/>
      <c r="L11" s="125"/>
      <c r="M11" s="125"/>
      <c r="N11" s="125"/>
      <c r="O11" s="125"/>
      <c r="P11" s="125"/>
      <c r="Q11" s="125"/>
      <c r="R11" s="125"/>
      <c r="S11" s="125"/>
      <c r="T11" s="125"/>
      <c r="U11" s="125"/>
      <c r="V11" s="125"/>
      <c r="W11" s="125"/>
      <c r="X11" s="125"/>
      <c r="Y11" s="125"/>
      <c r="Z11" s="125"/>
      <c r="AA11" s="22"/>
      <c r="AB11" s="22"/>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row>
    <row r="12" customFormat="false" ht="46.25" hidden="false" customHeight="false" outlineLevel="0" collapsed="false">
      <c r="A12" s="124"/>
      <c r="B12" s="124"/>
      <c r="C12" s="153" t="s">
        <v>30</v>
      </c>
      <c r="D12" s="127" t="n">
        <v>12</v>
      </c>
      <c r="E12" s="130" t="n">
        <f aca="false">SUM(F12:BC12)</f>
        <v>0</v>
      </c>
      <c r="F12" s="125"/>
      <c r="G12" s="125"/>
      <c r="H12" s="125"/>
      <c r="I12" s="125"/>
      <c r="J12" s="125"/>
      <c r="K12" s="125"/>
      <c r="L12" s="125"/>
      <c r="M12" s="125"/>
      <c r="N12" s="125"/>
      <c r="O12" s="125"/>
      <c r="P12" s="125"/>
      <c r="Q12" s="125"/>
      <c r="R12" s="125"/>
      <c r="S12" s="125"/>
      <c r="T12" s="125"/>
      <c r="U12" s="125"/>
      <c r="V12" s="125"/>
      <c r="W12" s="125"/>
      <c r="X12" s="125"/>
      <c r="Y12" s="125"/>
      <c r="Z12" s="125"/>
      <c r="AA12" s="22"/>
      <c r="AB12" s="22"/>
      <c r="AC12" s="125"/>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5"/>
      <c r="BC12" s="125"/>
    </row>
    <row r="13" customFormat="false" ht="15" hidden="false" customHeight="false" outlineLevel="0" collapsed="false">
      <c r="A13" s="124"/>
      <c r="B13" s="124" t="s">
        <v>24</v>
      </c>
      <c r="C13" s="125"/>
      <c r="D13" s="127" t="n">
        <v>15</v>
      </c>
      <c r="E13" s="132"/>
      <c r="F13" s="125"/>
      <c r="G13" s="125"/>
      <c r="H13" s="125"/>
      <c r="I13" s="125"/>
      <c r="J13" s="125"/>
      <c r="K13" s="125"/>
      <c r="L13" s="125"/>
      <c r="M13" s="125"/>
      <c r="N13" s="125"/>
      <c r="O13" s="125"/>
      <c r="P13" s="125"/>
      <c r="Q13" s="125"/>
      <c r="R13" s="125"/>
      <c r="S13" s="125"/>
      <c r="T13" s="125"/>
      <c r="U13" s="125"/>
      <c r="V13" s="125"/>
      <c r="W13" s="125"/>
      <c r="X13" s="125"/>
      <c r="Y13" s="125"/>
      <c r="Z13" s="125"/>
      <c r="AA13" s="22"/>
      <c r="AB13" s="22"/>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row>
    <row r="14" customFormat="false" ht="15" hidden="false" customHeight="false" outlineLevel="0" collapsed="false">
      <c r="A14" s="124"/>
      <c r="B14" s="124" t="s">
        <v>25</v>
      </c>
      <c r="C14" s="125"/>
      <c r="D14" s="127" t="n">
        <v>16</v>
      </c>
      <c r="E14" s="132"/>
      <c r="F14" s="125"/>
      <c r="G14" s="125"/>
      <c r="H14" s="125"/>
      <c r="I14" s="125"/>
      <c r="J14" s="125"/>
      <c r="K14" s="125"/>
      <c r="L14" s="125"/>
      <c r="M14" s="125"/>
      <c r="N14" s="125"/>
      <c r="O14" s="125"/>
      <c r="P14" s="125"/>
      <c r="Q14" s="125"/>
      <c r="R14" s="125"/>
      <c r="S14" s="125"/>
      <c r="T14" s="125"/>
      <c r="U14" s="125"/>
      <c r="V14" s="125"/>
      <c r="W14" s="125"/>
      <c r="X14" s="125"/>
      <c r="Y14" s="125"/>
      <c r="Z14" s="125"/>
      <c r="AA14" s="22"/>
      <c r="AB14" s="22"/>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row>
  </sheetData>
  <mergeCells count="8">
    <mergeCell ref="A1:B1"/>
    <mergeCell ref="A2:B2"/>
    <mergeCell ref="A3:B3"/>
    <mergeCell ref="A4:B4"/>
    <mergeCell ref="A5:B5"/>
    <mergeCell ref="A6:B6"/>
    <mergeCell ref="A7:A14"/>
    <mergeCell ref="B7:B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1" zoomScaleNormal="101" zoomScalePageLayoutView="100" workbookViewId="0">
      <selection pane="topLeft" activeCell="D7" activeCellId="0" sqref="D7"/>
    </sheetView>
  </sheetViews>
  <sheetFormatPr defaultColWidth="8.66796875" defaultRowHeight="13.5" customHeight="false" zeroHeight="false" outlineLevelRow="0" outlineLevelCol="0"/>
  <cols>
    <col collapsed="false" customWidth="true" hidden="false" outlineLevel="0" max="2" min="2" style="1" width="51.16"/>
    <col collapsed="false" customWidth="true" hidden="false" outlineLevel="0" max="4" min="4" style="1" width="9"/>
    <col collapsed="false" customWidth="true" hidden="false" outlineLevel="0" max="7" min="5" style="1" width="9.34"/>
    <col collapsed="false" customWidth="true" hidden="false" outlineLevel="0" max="8" min="8" style="1" width="9"/>
  </cols>
  <sheetData>
    <row r="1" customFormat="false" ht="17.25" hidden="false" customHeight="false" outlineLevel="0" collapsed="false">
      <c r="A1" s="32" t="s">
        <v>184</v>
      </c>
      <c r="B1" s="32"/>
    </row>
    <row r="3" customFormat="false" ht="15" hidden="false" customHeight="true" outlineLevel="0" collapsed="false">
      <c r="A3" s="154" t="s">
        <v>19</v>
      </c>
      <c r="B3" s="154" t="s">
        <v>2</v>
      </c>
      <c r="C3" s="154" t="s">
        <v>99</v>
      </c>
      <c r="D3" s="154" t="s">
        <v>185</v>
      </c>
      <c r="E3" s="154" t="s">
        <v>186</v>
      </c>
      <c r="F3" s="154" t="s">
        <v>22</v>
      </c>
      <c r="G3" s="154"/>
      <c r="H3" s="154"/>
      <c r="I3" s="154"/>
      <c r="J3" s="154"/>
    </row>
    <row r="4" customFormat="false" ht="13.5" hidden="false" customHeight="true" outlineLevel="0" collapsed="false">
      <c r="A4" s="154"/>
      <c r="B4" s="154"/>
      <c r="C4" s="154"/>
      <c r="D4" s="154"/>
      <c r="E4" s="154"/>
      <c r="F4" s="154" t="s">
        <v>23</v>
      </c>
      <c r="G4" s="154"/>
      <c r="H4" s="154"/>
      <c r="I4" s="154" t="s">
        <v>24</v>
      </c>
      <c r="J4" s="154" t="s">
        <v>25</v>
      </c>
    </row>
    <row r="5" customFormat="false" ht="13.5" hidden="false" customHeight="true" outlineLevel="0" collapsed="false">
      <c r="A5" s="154"/>
      <c r="B5" s="154"/>
      <c r="C5" s="154"/>
      <c r="D5" s="154"/>
      <c r="E5" s="154"/>
      <c r="F5" s="155" t="s">
        <v>187</v>
      </c>
      <c r="G5" s="155" t="s">
        <v>188</v>
      </c>
      <c r="H5" s="155" t="s">
        <v>189</v>
      </c>
      <c r="I5" s="154"/>
      <c r="J5" s="154"/>
    </row>
    <row r="6" customFormat="false" ht="13.5" hidden="false" customHeight="false" outlineLevel="0" collapsed="false">
      <c r="A6" s="154"/>
      <c r="B6" s="154"/>
      <c r="C6" s="154"/>
      <c r="D6" s="154"/>
      <c r="E6" s="154"/>
      <c r="F6" s="155"/>
      <c r="G6" s="155"/>
      <c r="H6" s="155"/>
      <c r="I6" s="154"/>
      <c r="J6" s="154"/>
    </row>
    <row r="7" customFormat="false" ht="13.5" hidden="false" customHeight="false" outlineLevel="0" collapsed="false">
      <c r="A7" s="156" t="n">
        <v>1</v>
      </c>
      <c r="B7" s="156" t="n">
        <v>2</v>
      </c>
      <c r="C7" s="156" t="n">
        <v>3</v>
      </c>
      <c r="D7" s="156" t="n">
        <v>4</v>
      </c>
      <c r="E7" s="156" t="n">
        <v>5</v>
      </c>
      <c r="F7" s="156" t="n">
        <v>6</v>
      </c>
      <c r="G7" s="156" t="n">
        <v>7</v>
      </c>
      <c r="H7" s="156" t="n">
        <v>8</v>
      </c>
      <c r="I7" s="156" t="n">
        <v>10</v>
      </c>
      <c r="J7" s="156" t="n">
        <v>11</v>
      </c>
    </row>
    <row r="8" customFormat="false" ht="40.5" hidden="false" customHeight="true" outlineLevel="0" collapsed="false">
      <c r="A8" s="4" t="s">
        <v>64</v>
      </c>
      <c r="B8" s="157" t="s">
        <v>190</v>
      </c>
      <c r="C8" s="158"/>
      <c r="D8" s="158"/>
      <c r="E8" s="158"/>
      <c r="F8" s="158"/>
      <c r="G8" s="158"/>
      <c r="H8" s="159"/>
      <c r="I8" s="158"/>
      <c r="J8" s="158"/>
    </row>
    <row r="9" customFormat="false" ht="20.25" hidden="false" customHeight="true" outlineLevel="0" collapsed="false">
      <c r="A9" s="24" t="n">
        <v>1</v>
      </c>
      <c r="B9" s="160"/>
      <c r="C9" s="22"/>
      <c r="D9" s="22"/>
      <c r="E9" s="22"/>
      <c r="F9" s="22"/>
      <c r="G9" s="22"/>
      <c r="H9" s="159"/>
      <c r="I9" s="158"/>
      <c r="J9" s="22"/>
    </row>
    <row r="10" customFormat="false" ht="21.75" hidden="false" customHeight="true" outlineLevel="0" collapsed="false">
      <c r="A10" s="24" t="n">
        <v>2</v>
      </c>
      <c r="B10" s="160"/>
      <c r="C10" s="22"/>
      <c r="D10" s="22"/>
      <c r="E10" s="22"/>
      <c r="F10" s="22"/>
      <c r="G10" s="22"/>
      <c r="H10" s="159"/>
      <c r="I10" s="158"/>
      <c r="J10" s="22"/>
    </row>
    <row r="11" customFormat="false" ht="30.75" hidden="false" customHeight="true" outlineLevel="0" collapsed="false">
      <c r="A11" s="4" t="s">
        <v>67</v>
      </c>
      <c r="B11" s="25" t="s">
        <v>191</v>
      </c>
      <c r="C11" s="22"/>
      <c r="D11" s="22"/>
      <c r="E11" s="22"/>
      <c r="F11" s="22"/>
      <c r="G11" s="22"/>
      <c r="H11" s="159"/>
      <c r="I11" s="158"/>
      <c r="J11" s="22"/>
    </row>
    <row r="12" customFormat="false" ht="32.25" hidden="false" customHeight="true" outlineLevel="0" collapsed="false">
      <c r="A12" s="4" t="s">
        <v>192</v>
      </c>
      <c r="B12" s="25" t="s">
        <v>193</v>
      </c>
      <c r="C12" s="22"/>
      <c r="D12" s="22"/>
      <c r="E12" s="22"/>
      <c r="F12" s="22"/>
      <c r="G12" s="22"/>
      <c r="H12" s="159"/>
      <c r="I12" s="158"/>
      <c r="J12" s="22"/>
    </row>
    <row r="13" customFormat="false" ht="54" hidden="false" customHeight="true" outlineLevel="0" collapsed="false">
      <c r="A13" s="4" t="s">
        <v>111</v>
      </c>
      <c r="B13" s="25" t="s">
        <v>194</v>
      </c>
      <c r="C13" s="22"/>
      <c r="D13" s="22"/>
      <c r="E13" s="22"/>
      <c r="F13" s="22"/>
      <c r="G13" s="22"/>
      <c r="H13" s="159"/>
      <c r="I13" s="158"/>
      <c r="J13" s="22"/>
    </row>
    <row r="14" customFormat="false" ht="30.75" hidden="false" customHeight="true" outlineLevel="0" collapsed="false">
      <c r="A14" s="4" t="s">
        <v>195</v>
      </c>
      <c r="B14" s="161" t="s">
        <v>196</v>
      </c>
      <c r="C14" s="158"/>
      <c r="D14" s="162"/>
      <c r="E14" s="163"/>
      <c r="F14" s="163"/>
      <c r="G14" s="163"/>
      <c r="H14" s="164"/>
      <c r="I14" s="158"/>
      <c r="J14" s="158"/>
    </row>
    <row r="15" customFormat="false" ht="15" hidden="false" customHeight="false" outlineLevel="0" collapsed="false">
      <c r="A15" s="4" t="s">
        <v>197</v>
      </c>
      <c r="B15" s="161" t="s">
        <v>198</v>
      </c>
      <c r="C15" s="158"/>
      <c r="D15" s="158"/>
      <c r="E15" s="158"/>
      <c r="F15" s="158"/>
      <c r="G15" s="158"/>
      <c r="H15" s="158"/>
      <c r="I15" s="158"/>
      <c r="J15" s="158"/>
    </row>
    <row r="16" customFormat="false" ht="15" hidden="false" customHeight="false" outlineLevel="0" collapsed="false">
      <c r="A16" s="4" t="s">
        <v>199</v>
      </c>
      <c r="B16" s="161" t="s">
        <v>200</v>
      </c>
      <c r="C16" s="158"/>
      <c r="D16" s="158"/>
      <c r="E16" s="158"/>
      <c r="F16" s="158"/>
      <c r="G16" s="158"/>
      <c r="H16" s="158"/>
      <c r="I16" s="158"/>
      <c r="J16" s="158"/>
    </row>
    <row r="17" customFormat="false" ht="15" hidden="false" customHeight="false" outlineLevel="0" collapsed="false">
      <c r="A17" s="22"/>
      <c r="B17" s="165"/>
      <c r="C17" s="22"/>
      <c r="D17" s="22"/>
      <c r="E17" s="22"/>
      <c r="F17" s="22"/>
      <c r="G17" s="22"/>
      <c r="H17" s="22"/>
      <c r="I17" s="22"/>
      <c r="J17" s="22"/>
    </row>
    <row r="18" customFormat="false" ht="15" hidden="false" customHeight="false" outlineLevel="0" collapsed="false">
      <c r="A18" s="22"/>
      <c r="B18" s="4" t="s">
        <v>201</v>
      </c>
      <c r="C18" s="29"/>
      <c r="D18" s="29"/>
      <c r="E18" s="164"/>
      <c r="F18" s="164"/>
      <c r="G18" s="164"/>
      <c r="H18" s="164"/>
      <c r="I18" s="22"/>
      <c r="J18" s="22"/>
    </row>
    <row r="20" customFormat="false" ht="14.25" hidden="false" customHeight="true" outlineLevel="0" collapsed="false"/>
    <row r="21" customFormat="false" ht="13.5" hidden="false" customHeight="false" outlineLevel="0" collapsed="false">
      <c r="A21" s="166"/>
    </row>
    <row r="22" customFormat="false" ht="13.5" hidden="false" customHeight="false" outlineLevel="0" collapsed="false">
      <c r="A22" s="167"/>
    </row>
  </sheetData>
  <mergeCells count="13">
    <mergeCell ref="A1:B1"/>
    <mergeCell ref="A3:A6"/>
    <mergeCell ref="B3:B6"/>
    <mergeCell ref="C3:C6"/>
    <mergeCell ref="D3:D6"/>
    <mergeCell ref="E3:E6"/>
    <mergeCell ref="F3:J3"/>
    <mergeCell ref="F4:H4"/>
    <mergeCell ref="I4:I6"/>
    <mergeCell ref="J4:J6"/>
    <mergeCell ref="F5:F6"/>
    <mergeCell ref="G5:G6"/>
    <mergeCell ref="H5:H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1" zoomScaleNormal="101" zoomScalePageLayoutView="100" workbookViewId="0">
      <selection pane="topLeft" activeCell="M9" activeCellId="0" sqref="M9"/>
    </sheetView>
  </sheetViews>
  <sheetFormatPr defaultColWidth="8.66796875" defaultRowHeight="13.5" customHeight="false" zeroHeight="false" outlineLevelRow="0" outlineLevelCol="0"/>
  <cols>
    <col collapsed="false" customWidth="true" hidden="false" outlineLevel="0" max="2" min="2" style="1" width="23.34"/>
    <col collapsed="false" customWidth="true" hidden="false" outlineLevel="0" max="5" min="5" style="1" width="15.33"/>
    <col collapsed="false" customWidth="true" hidden="false" outlineLevel="0" max="6" min="6" style="1" width="13.16"/>
  </cols>
  <sheetData>
    <row r="1" customFormat="false" ht="17.25" hidden="false" customHeight="false" outlineLevel="0" collapsed="false">
      <c r="A1" s="32" t="s">
        <v>202</v>
      </c>
      <c r="B1" s="32"/>
      <c r="C1" s="32"/>
      <c r="D1" s="32"/>
      <c r="E1" s="32"/>
      <c r="F1" s="32"/>
      <c r="G1" s="32"/>
      <c r="H1" s="32"/>
    </row>
    <row r="3" customFormat="false" ht="13.5" hidden="false" customHeight="true" outlineLevel="0" collapsed="false">
      <c r="A3" s="154" t="s">
        <v>19</v>
      </c>
      <c r="B3" s="154" t="s">
        <v>2</v>
      </c>
      <c r="C3" s="154" t="s">
        <v>203</v>
      </c>
      <c r="D3" s="154" t="s">
        <v>22</v>
      </c>
      <c r="E3" s="154"/>
      <c r="F3" s="154"/>
      <c r="G3" s="154"/>
      <c r="H3" s="154"/>
    </row>
    <row r="4" customFormat="false" ht="13.5" hidden="false" customHeight="true" outlineLevel="0" collapsed="false">
      <c r="A4" s="154"/>
      <c r="B4" s="154"/>
      <c r="C4" s="154"/>
      <c r="D4" s="154" t="s">
        <v>23</v>
      </c>
      <c r="E4" s="154"/>
      <c r="F4" s="154"/>
      <c r="G4" s="154" t="s">
        <v>24</v>
      </c>
      <c r="H4" s="154" t="s">
        <v>25</v>
      </c>
    </row>
    <row r="5" customFormat="false" ht="13.5" hidden="false" customHeight="false" outlineLevel="0" collapsed="false">
      <c r="A5" s="154"/>
      <c r="B5" s="154"/>
      <c r="C5" s="154"/>
      <c r="D5" s="155" t="s">
        <v>187</v>
      </c>
      <c r="E5" s="155" t="s">
        <v>188</v>
      </c>
      <c r="F5" s="155" t="s">
        <v>189</v>
      </c>
      <c r="G5" s="154"/>
      <c r="H5" s="154"/>
    </row>
    <row r="6" customFormat="false" ht="15" hidden="false" customHeight="false" outlineLevel="0" collapsed="false">
      <c r="A6" s="23" t="n">
        <v>1</v>
      </c>
      <c r="B6" s="23" t="n">
        <v>2</v>
      </c>
      <c r="C6" s="23" t="n">
        <v>3</v>
      </c>
      <c r="D6" s="23" t="n">
        <v>4</v>
      </c>
      <c r="E6" s="23" t="n">
        <v>5</v>
      </c>
      <c r="F6" s="23" t="n">
        <v>6</v>
      </c>
      <c r="G6" s="23" t="n">
        <v>8</v>
      </c>
      <c r="H6" s="23" t="n">
        <v>9</v>
      </c>
    </row>
    <row r="7" customFormat="false" ht="40.5" hidden="false" customHeight="true" outlineLevel="0" collapsed="false">
      <c r="A7" s="22" t="n">
        <v>1</v>
      </c>
      <c r="B7" s="145" t="s">
        <v>204</v>
      </c>
      <c r="C7" s="22"/>
      <c r="D7" s="22"/>
      <c r="E7" s="22"/>
      <c r="F7" s="22"/>
      <c r="G7" s="22"/>
      <c r="H7" s="22"/>
    </row>
    <row r="8" customFormat="false" ht="13.5" hidden="true" customHeight="false" outlineLevel="0" collapsed="false">
      <c r="A8" s="22"/>
      <c r="B8" s="145"/>
      <c r="C8" s="22"/>
      <c r="D8" s="22"/>
      <c r="E8" s="22"/>
      <c r="F8" s="22"/>
      <c r="G8" s="22"/>
      <c r="H8" s="22"/>
    </row>
    <row r="9" customFormat="false" ht="41.25" hidden="false" customHeight="true" outlineLevel="0" collapsed="false">
      <c r="A9" s="22" t="n">
        <v>2</v>
      </c>
      <c r="B9" s="145" t="s">
        <v>205</v>
      </c>
      <c r="C9" s="158"/>
      <c r="D9" s="158"/>
      <c r="E9" s="158"/>
      <c r="F9" s="158"/>
      <c r="G9" s="158"/>
      <c r="H9" s="158"/>
    </row>
    <row r="10" customFormat="false" ht="13.5" hidden="true" customHeight="false" outlineLevel="0" collapsed="false">
      <c r="A10" s="22"/>
      <c r="B10" s="145"/>
      <c r="C10" s="158"/>
      <c r="D10" s="158"/>
      <c r="E10" s="158"/>
      <c r="F10" s="158"/>
      <c r="G10" s="158"/>
      <c r="H10" s="158"/>
    </row>
    <row r="11" customFormat="false" ht="36" hidden="false" customHeight="true" outlineLevel="0" collapsed="false">
      <c r="A11" s="22" t="n">
        <v>3</v>
      </c>
      <c r="B11" s="145" t="s">
        <v>206</v>
      </c>
      <c r="C11" s="22"/>
      <c r="D11" s="22"/>
      <c r="E11" s="22"/>
      <c r="F11" s="22"/>
      <c r="G11" s="22"/>
      <c r="H11" s="22"/>
    </row>
    <row r="12" customFormat="false" ht="13.5" hidden="true" customHeight="false" outlineLevel="0" collapsed="false">
      <c r="A12" s="22"/>
      <c r="B12" s="145"/>
      <c r="C12" s="22"/>
      <c r="D12" s="22"/>
      <c r="E12" s="22"/>
      <c r="F12" s="22"/>
      <c r="G12" s="22"/>
      <c r="H12" s="22"/>
    </row>
    <row r="13" customFormat="false" ht="15.75" hidden="false" customHeight="true" outlineLevel="0" collapsed="false">
      <c r="A13" s="22" t="n">
        <v>4</v>
      </c>
      <c r="B13" s="145" t="s">
        <v>207</v>
      </c>
      <c r="C13" s="22"/>
      <c r="D13" s="22"/>
      <c r="E13" s="22"/>
      <c r="F13" s="22"/>
      <c r="G13" s="22"/>
      <c r="H13" s="22"/>
    </row>
    <row r="14" customFormat="false" ht="8.25" hidden="false" customHeight="true" outlineLevel="0" collapsed="false">
      <c r="A14" s="22"/>
      <c r="B14" s="145"/>
      <c r="C14" s="22"/>
      <c r="D14" s="22"/>
      <c r="E14" s="22"/>
      <c r="F14" s="22"/>
      <c r="G14" s="22"/>
      <c r="H14" s="22"/>
    </row>
    <row r="15" customFormat="false" ht="15" hidden="false" customHeight="false" outlineLevel="0" collapsed="false">
      <c r="A15" s="22"/>
      <c r="B15" s="4" t="s">
        <v>53</v>
      </c>
      <c r="C15" s="22"/>
      <c r="D15" s="22"/>
      <c r="E15" s="22"/>
      <c r="F15" s="22"/>
      <c r="G15" s="22"/>
      <c r="H15" s="22"/>
    </row>
  </sheetData>
  <mergeCells count="40">
    <mergeCell ref="A1:H1"/>
    <mergeCell ref="A3:A5"/>
    <mergeCell ref="B3:B5"/>
    <mergeCell ref="C3:C5"/>
    <mergeCell ref="D3:H3"/>
    <mergeCell ref="D4:F4"/>
    <mergeCell ref="G4:G5"/>
    <mergeCell ref="H4:H5"/>
    <mergeCell ref="A7:A8"/>
    <mergeCell ref="B7:B8"/>
    <mergeCell ref="C7:C8"/>
    <mergeCell ref="D7:D8"/>
    <mergeCell ref="E7:E8"/>
    <mergeCell ref="F7:F8"/>
    <mergeCell ref="G7:G8"/>
    <mergeCell ref="H7:H8"/>
    <mergeCell ref="A9:A10"/>
    <mergeCell ref="B9:B10"/>
    <mergeCell ref="C9:C10"/>
    <mergeCell ref="D9:D10"/>
    <mergeCell ref="E9:E10"/>
    <mergeCell ref="F9:F10"/>
    <mergeCell ref="G9:G10"/>
    <mergeCell ref="H9:H10"/>
    <mergeCell ref="A11:A12"/>
    <mergeCell ref="B11:B12"/>
    <mergeCell ref="C11:C12"/>
    <mergeCell ref="D11:D12"/>
    <mergeCell ref="E11:E12"/>
    <mergeCell ref="F11:F12"/>
    <mergeCell ref="G11:G12"/>
    <mergeCell ref="H11:H12"/>
    <mergeCell ref="A13:A14"/>
    <mergeCell ref="B13:B14"/>
    <mergeCell ref="C13:C14"/>
    <mergeCell ref="D13:D14"/>
    <mergeCell ref="E13:E14"/>
    <mergeCell ref="F13:F14"/>
    <mergeCell ref="G13:G14"/>
    <mergeCell ref="H13:H1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true" showRowColHeaders="true" showZeros="true" rightToLeft="false" tabSelected="false" showOutlineSymbols="true" defaultGridColor="true" view="normal" topLeftCell="A1" colorId="64" zoomScale="101" zoomScaleNormal="101" zoomScalePageLayoutView="100" workbookViewId="0">
      <selection pane="topLeft" activeCell="C9" activeCellId="0" sqref="C9"/>
    </sheetView>
  </sheetViews>
  <sheetFormatPr defaultColWidth="8.66796875" defaultRowHeight="13.5" customHeight="false" zeroHeight="false" outlineLevelRow="0" outlineLevelCol="0"/>
  <cols>
    <col collapsed="false" customWidth="true" hidden="false" outlineLevel="0" max="1" min="1" style="1" width="13.16"/>
    <col collapsed="false" customWidth="true" hidden="false" outlineLevel="0" max="2" min="2" style="1" width="48.34"/>
    <col collapsed="false" customWidth="true" hidden="false" outlineLevel="0" max="3" min="3" style="168" width="18.34"/>
    <col collapsed="false" customWidth="true" hidden="false" outlineLevel="0" max="4" min="4" style="1" width="9.16"/>
    <col collapsed="false" customWidth="true" hidden="false" outlineLevel="0" max="6" min="5" style="168" width="10.16"/>
    <col collapsed="false" customWidth="true" hidden="false" outlineLevel="0" max="7" min="7" style="168" width="12.17"/>
    <col collapsed="false" customWidth="true" hidden="false" outlineLevel="0" max="10" min="8" style="168" width="10.16"/>
    <col collapsed="false" customWidth="true" hidden="false" outlineLevel="0" max="13" min="13" style="1" width="58.84"/>
  </cols>
  <sheetData>
    <row r="1" customFormat="false" ht="15" hidden="false" customHeight="false" outlineLevel="0" collapsed="false">
      <c r="B1" s="169" t="s">
        <v>208</v>
      </c>
    </row>
    <row r="3" customFormat="false" ht="16.5" hidden="false" customHeight="true" outlineLevel="0" collapsed="false">
      <c r="A3" s="33" t="s">
        <v>19</v>
      </c>
      <c r="B3" s="33" t="s">
        <v>209</v>
      </c>
      <c r="C3" s="33" t="s">
        <v>26</v>
      </c>
      <c r="D3" s="33"/>
      <c r="E3" s="33" t="s">
        <v>22</v>
      </c>
      <c r="F3" s="33"/>
      <c r="G3" s="33"/>
      <c r="H3" s="33"/>
      <c r="I3" s="33"/>
      <c r="J3" s="33"/>
      <c r="K3" s="33"/>
      <c r="L3" s="33"/>
      <c r="M3" s="170"/>
    </row>
    <row r="4" customFormat="false" ht="16.5" hidden="false" customHeight="true" outlineLevel="0" collapsed="false">
      <c r="A4" s="33"/>
      <c r="B4" s="33"/>
      <c r="C4" s="33" t="s">
        <v>203</v>
      </c>
      <c r="D4" s="33" t="s">
        <v>210</v>
      </c>
      <c r="E4" s="34" t="s">
        <v>23</v>
      </c>
      <c r="F4" s="34"/>
      <c r="G4" s="34"/>
      <c r="H4" s="34"/>
      <c r="I4" s="34"/>
      <c r="J4" s="34"/>
      <c r="K4" s="33" t="s">
        <v>24</v>
      </c>
      <c r="L4" s="33" t="s">
        <v>25</v>
      </c>
      <c r="M4" s="170"/>
    </row>
    <row r="5" customFormat="false" ht="58.2" hidden="false" customHeight="false" outlineLevel="0" collapsed="false">
      <c r="A5" s="33"/>
      <c r="B5" s="33"/>
      <c r="C5" s="33"/>
      <c r="D5" s="33"/>
      <c r="E5" s="36" t="s">
        <v>26</v>
      </c>
      <c r="F5" s="171" t="s">
        <v>27</v>
      </c>
      <c r="G5" s="36" t="s">
        <v>28</v>
      </c>
      <c r="H5" s="171" t="s">
        <v>27</v>
      </c>
      <c r="I5" s="36" t="s">
        <v>29</v>
      </c>
      <c r="J5" s="171" t="s">
        <v>30</v>
      </c>
      <c r="K5" s="33"/>
      <c r="L5" s="33"/>
      <c r="M5" s="170"/>
    </row>
    <row r="6" customFormat="false" ht="16.15" hidden="false" customHeight="false" outlineLevel="0" collapsed="false">
      <c r="A6" s="171" t="n">
        <v>1</v>
      </c>
      <c r="B6" s="171" t="n">
        <v>2</v>
      </c>
      <c r="C6" s="172" t="n">
        <v>3</v>
      </c>
      <c r="D6" s="171" t="n">
        <v>4</v>
      </c>
      <c r="E6" s="172" t="n">
        <v>5</v>
      </c>
      <c r="F6" s="172" t="n">
        <v>6</v>
      </c>
      <c r="G6" s="172" t="n">
        <v>7</v>
      </c>
      <c r="H6" s="172" t="n">
        <v>8</v>
      </c>
      <c r="I6" s="172" t="n">
        <v>9</v>
      </c>
      <c r="J6" s="172" t="n">
        <v>10</v>
      </c>
      <c r="K6" s="171" t="n">
        <v>13</v>
      </c>
      <c r="L6" s="171" t="n">
        <v>14</v>
      </c>
      <c r="M6" s="170"/>
    </row>
    <row r="7" customFormat="false" ht="52.5" hidden="false" customHeight="true" outlineLevel="0" collapsed="false">
      <c r="A7" s="173" t="n">
        <v>1</v>
      </c>
      <c r="B7" s="174" t="s">
        <v>211</v>
      </c>
      <c r="C7" s="175"/>
      <c r="D7" s="175"/>
      <c r="E7" s="175"/>
      <c r="F7" s="175"/>
      <c r="G7" s="175"/>
      <c r="H7" s="175"/>
      <c r="I7" s="175"/>
      <c r="J7" s="175"/>
      <c r="K7" s="36"/>
      <c r="L7" s="36"/>
      <c r="M7" s="170"/>
    </row>
    <row r="8" customFormat="false" ht="29.85" hidden="false" customHeight="false" outlineLevel="0" collapsed="false">
      <c r="A8" s="33" t="n">
        <v>2</v>
      </c>
      <c r="B8" s="176" t="s">
        <v>212</v>
      </c>
      <c r="C8" s="177"/>
      <c r="D8" s="178"/>
      <c r="E8" s="179"/>
      <c r="F8" s="179"/>
      <c r="G8" s="179"/>
      <c r="H8" s="179"/>
      <c r="I8" s="179"/>
      <c r="J8" s="179"/>
      <c r="K8" s="36"/>
      <c r="L8" s="36"/>
      <c r="M8" s="170"/>
    </row>
    <row r="9" customFormat="false" ht="29.85" hidden="false" customHeight="false" outlineLevel="0" collapsed="false">
      <c r="A9" s="33" t="n">
        <v>3</v>
      </c>
      <c r="B9" s="176" t="s">
        <v>213</v>
      </c>
      <c r="C9" s="175" t="n">
        <f aca="false">('Tổng kinh phí'!C8)/95*5</f>
        <v>1.49443062200957</v>
      </c>
      <c r="D9" s="178"/>
      <c r="E9" s="175" t="n">
        <f aca="false">C9</f>
        <v>1.49443062200957</v>
      </c>
      <c r="F9" s="175" t="n">
        <f aca="false">E9</f>
        <v>1.49443062200957</v>
      </c>
      <c r="G9" s="175" t="n">
        <f aca="false">E9</f>
        <v>1.49443062200957</v>
      </c>
      <c r="H9" s="175" t="n">
        <f aca="false">F9</f>
        <v>1.49443062200957</v>
      </c>
      <c r="I9" s="175"/>
      <c r="J9" s="175"/>
      <c r="K9" s="36"/>
      <c r="L9" s="36"/>
      <c r="M9" s="180"/>
    </row>
    <row r="10" customFormat="false" ht="25.5" hidden="false" customHeight="true" outlineLevel="0" collapsed="false">
      <c r="A10" s="33" t="n">
        <v>4</v>
      </c>
      <c r="B10" s="181" t="s">
        <v>214</v>
      </c>
      <c r="C10" s="175"/>
      <c r="D10" s="175"/>
      <c r="E10" s="175"/>
      <c r="F10" s="175"/>
      <c r="G10" s="175"/>
      <c r="H10" s="175"/>
      <c r="I10" s="175"/>
      <c r="J10" s="175"/>
      <c r="K10" s="36"/>
      <c r="L10" s="36"/>
      <c r="M10" s="170"/>
    </row>
    <row r="11" customFormat="false" ht="29.85" hidden="false" customHeight="false" outlineLevel="0" collapsed="false">
      <c r="A11" s="33" t="n">
        <v>5</v>
      </c>
      <c r="B11" s="181" t="s">
        <v>215</v>
      </c>
      <c r="C11" s="179"/>
      <c r="D11" s="182"/>
      <c r="E11" s="179"/>
      <c r="F11" s="179"/>
      <c r="G11" s="179"/>
      <c r="H11" s="179"/>
      <c r="I11" s="179"/>
      <c r="J11" s="179"/>
      <c r="K11" s="36"/>
      <c r="L11" s="36"/>
    </row>
    <row r="12" customFormat="false" ht="16.15" hidden="false" customHeight="false" outlineLevel="0" collapsed="false">
      <c r="A12" s="33" t="n">
        <v>6</v>
      </c>
      <c r="B12" s="176" t="s">
        <v>38</v>
      </c>
      <c r="C12" s="175"/>
      <c r="D12" s="175"/>
      <c r="E12" s="175"/>
      <c r="F12" s="175"/>
      <c r="G12" s="175"/>
      <c r="H12" s="175"/>
      <c r="I12" s="175"/>
      <c r="J12" s="175"/>
      <c r="K12" s="183"/>
      <c r="L12" s="183"/>
    </row>
    <row r="13" customFormat="false" ht="29.85" hidden="false" customHeight="false" outlineLevel="0" collapsed="false">
      <c r="A13" s="184" t="s">
        <v>216</v>
      </c>
      <c r="B13" s="185" t="s">
        <v>217</v>
      </c>
      <c r="C13" s="186"/>
      <c r="D13" s="187"/>
      <c r="E13" s="186"/>
      <c r="F13" s="186"/>
      <c r="G13" s="186"/>
      <c r="H13" s="186"/>
      <c r="I13" s="186"/>
      <c r="J13" s="186"/>
      <c r="K13" s="188"/>
      <c r="L13" s="188"/>
    </row>
    <row r="14" customFormat="false" ht="16.15" hidden="false" customHeight="false" outlineLevel="0" collapsed="false">
      <c r="A14" s="173" t="s">
        <v>218</v>
      </c>
      <c r="B14" s="189" t="s">
        <v>219</v>
      </c>
      <c r="C14" s="190"/>
      <c r="D14" s="191"/>
      <c r="E14" s="190"/>
      <c r="F14" s="190"/>
      <c r="G14" s="190"/>
      <c r="H14" s="190"/>
      <c r="I14" s="192"/>
      <c r="J14" s="192"/>
      <c r="K14" s="188"/>
      <c r="L14" s="188"/>
      <c r="M14" s="180"/>
    </row>
    <row r="15" customFormat="false" ht="16.15" hidden="false" customHeight="false" outlineLevel="0" collapsed="false">
      <c r="A15" s="36"/>
      <c r="B15" s="33" t="s">
        <v>53</v>
      </c>
      <c r="C15" s="175" t="n">
        <f aca="false">C7+C8+C9+C10+C11+C12</f>
        <v>1.49443062200957</v>
      </c>
      <c r="D15" s="175"/>
      <c r="E15" s="175" t="n">
        <f aca="false">E7+E8+E9+E10+E11+E12</f>
        <v>1.49443062200957</v>
      </c>
      <c r="F15" s="175" t="n">
        <f aca="false">F7+F8+F9+F10+F11+F12</f>
        <v>1.49443062200957</v>
      </c>
      <c r="G15" s="175" t="n">
        <f aca="false">G7+G8+G9+G10+G11+G12</f>
        <v>1.49443062200957</v>
      </c>
      <c r="H15" s="175" t="n">
        <f aca="false">H7+H8+H9+H10+H11+H12</f>
        <v>1.49443062200957</v>
      </c>
      <c r="I15" s="175"/>
      <c r="J15" s="175"/>
      <c r="K15" s="183"/>
      <c r="L15" s="183"/>
    </row>
    <row r="19" customFormat="false" ht="13.5" hidden="false" customHeight="false" outlineLevel="0" collapsed="false">
      <c r="I19" s="193"/>
    </row>
    <row r="20" customFormat="false" ht="13.5" hidden="false" customHeight="false" outlineLevel="0" collapsed="false">
      <c r="G20" s="193"/>
      <c r="H20" s="193"/>
    </row>
  </sheetData>
  <mergeCells count="9">
    <mergeCell ref="A3:A5"/>
    <mergeCell ref="B3:B5"/>
    <mergeCell ref="C3:D3"/>
    <mergeCell ref="E3:L3"/>
    <mergeCell ref="C4:C5"/>
    <mergeCell ref="D4:D5"/>
    <mergeCell ref="E4:J4"/>
    <mergeCell ref="K4:K5"/>
    <mergeCell ref="L4:L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126</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2021-05-13T01:48:13Z</dcterms:created>
  <dc:creator>user</dc:creator>
  <dc:description/>
  <dc:language>en-US</dc:language>
  <cp:lastModifiedBy/>
  <cp:lastPrinted>2025-04-16T05:56:58Z</cp:lastPrinted>
  <dcterms:modified xsi:type="dcterms:W3CDTF">2026-04-09T13:49:57Z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ActionId">
    <vt:lpwstr>ecd06df4-f286-44ed-aff0-40b5c23c8126</vt:lpwstr>
  </property>
  <property fmtid="{D5CDD505-2E9C-101B-9397-08002B2CF9AE}" pid="3" name="MSIP_Label_defa4170-0d19-0005-0004-bc88714345d2_ContentBits">
    <vt:lpwstr>0</vt:lpwstr>
  </property>
  <property fmtid="{D5CDD505-2E9C-101B-9397-08002B2CF9AE}" pid="4" name="MSIP_Label_defa4170-0d19-0005-0004-bc88714345d2_Enabled">
    <vt:lpwstr>true</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etDate">
    <vt:lpwstr>2024-06-03T03:05:12Z</vt:lpwstr>
  </property>
  <property fmtid="{D5CDD505-2E9C-101B-9397-08002B2CF9AE}" pid="8" name="MSIP_Label_defa4170-0d19-0005-0004-bc88714345d2_SiteId">
    <vt:lpwstr>90706e80-2c8d-46c3-aa7d-f37d508cc906</vt:lpwstr>
  </property>
</Properties>
</file>